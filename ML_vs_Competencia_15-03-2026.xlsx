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Mecánico" sheetId="1" state="visible" r:id="rId1"/>
    <sheet xmlns:r="http://schemas.openxmlformats.org/officeDocument/2006/relationships" name="Sara Cell — Competencia" sheetId="2" state="visible" r:id="rId2"/>
    <sheet xmlns:r="http://schemas.openxmlformats.org/officeDocument/2006/relationships" name="Comparación de Precios" sheetId="3" state="visible" r:id="rId3"/>
    <sheet xmlns:r="http://schemas.openxmlformats.org/officeDocument/2006/relationships" name="Stock SJ vs M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222222"/>
      <sz val="9"/>
    </font>
    <font>
      <b val="1"/>
      <color rgb="00222222"/>
      <sz val="9"/>
    </font>
    <font>
      <color rgb="000563C1"/>
      <sz val="9"/>
    </font>
    <font>
      <b val="1"/>
      <sz val="9"/>
    </font>
    <font>
      <i val="1"/>
      <color rgb="00999999"/>
      <sz val="9"/>
    </font>
    <font>
      <i val="1"/>
      <color rgb="007F7F7F"/>
      <sz val="9"/>
    </font>
    <font>
      <color rgb="00999999"/>
      <sz val="9"/>
    </font>
    <font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DBE5F1"/>
      </patternFill>
    </fill>
    <fill>
      <patternFill patternType="solid">
        <fgColor rgb="00EDEDED"/>
      </patternFill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FDE9D9"/>
      </patternFill>
    </fill>
    <fill>
      <patternFill patternType="solid">
        <fgColor rgb="00FCE4D6"/>
      </patternFill>
    </fill>
    <fill>
      <patternFill patternType="solid">
        <fgColor rgb="00D6EF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right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/>
    </xf>
    <xf numFmtId="164" fontId="3" fillId="6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center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right" vertical="center" wrapText="1"/>
    </xf>
    <xf numFmtId="9" fontId="3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right" vertical="center" wrapText="1"/>
    </xf>
    <xf numFmtId="9" fontId="3" fillId="11" borderId="1" applyAlignment="1" pivotButton="0" quotePrefix="0" xfId="0">
      <alignment horizontal="right" vertical="center" wrapText="1"/>
    </xf>
    <xf numFmtId="0" fontId="10" fillId="10" borderId="1" pivotButton="0" quotePrefix="0" xfId="0"/>
    <xf numFmtId="0" fontId="10" fillId="11" borderId="1" pivotButton="0" quotePrefix="0" xfId="0"/>
    <xf numFmtId="0" fontId="10" fillId="6" borderId="1" pivotButton="0" quotePrefix="0" xfId="0"/>
    <xf numFmtId="0" fontId="0" fillId="12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ar/modulo-para-moto-e22-e22i-e22s-mecanico-display-tactil-negro/p/MLA66035142" TargetMode="External" Id="rId1"/><Relationship Type="http://schemas.openxmlformats.org/officeDocument/2006/relationships/hyperlink" Target="https://www.mercadolibre.com.ar/modulo-pantalla-samsung-a22-4g-a225-marco-display-tactil-touch-lcd-repuesto-reparacion-sensibilidad-alta-colores-nitidos-brillo-uniforme-ajuste-perfecto-celular-resistente-duradero-servicio-tecnico/p/MLA65938301" TargetMode="External" Id="rId2"/><Relationship Type="http://schemas.openxmlformats.org/officeDocument/2006/relationships/hyperlink" Target="https://www.mercadolibre.com.ar/modulo-pantalla-display-lcd-motorola-moto-g8-power-lite-xt2055-sin-marco-mecanico-tactil-negro-repuesto-touch-screen-vidrio-para-reparacion-celular-compatible-alta-calidad-completo-hd/p/MLA66318990" TargetMode="External" Id="rId3"/><Relationship Type="http://schemas.openxmlformats.org/officeDocument/2006/relationships/hyperlink" Target="https://www.mercadolibre.com.ar/modulo-para-samsung-a54-a546-big-oled-con-marco-mecanico-negro/p/MLA66028828" TargetMode="External" Id="rId4"/><Relationship Type="http://schemas.openxmlformats.org/officeDocument/2006/relationships/hyperlink" Target="https://www.mercadolibre.com.ar/modulo-para-samsung-a01-core-a013-op-mecanico-display-touch-negro/p/MLA66218232" TargetMode="External" Id="rId5"/><Relationship Type="http://schemas.openxmlformats.org/officeDocument/2006/relationships/hyperlink" Target="https://www.mercadolibre.com.ar/modulo-para-samsung-j5-prime-g570-mecanico-display-tactil-blanco/p/MLA66216166" TargetMode="External" Id="rId6"/><Relationship Type="http://schemas.openxmlformats.org/officeDocument/2006/relationships/hyperlink" Target="https://www.mercadolibre.com.ar/modulo-pantalla-motorola-moto-g9-play-marco-xt2081-xt2083-display-lcd-tactil-touch-sensible-preciso-ajuste-perfecto-colores-nitidos-brillo-uniforme-repuesto-celular-reparacion-servicio-tecnico-probado/p/MLA66029743" TargetMode="External" Id="rId7"/><Relationship Type="http://schemas.openxmlformats.org/officeDocument/2006/relationships/hyperlink" Target="https://www.mercadolibre.com.ar/modulo-compatible-con-iphone-13-pantalla-completa-display-tactil-touch-mecanico-calidad-premium-sensibilidad-precisa-repuesto-celular-instalacion-reparacion-tecnico-encastre-perfecto-nitido/p/MLA66028889" TargetMode="External" Id="rId8"/><Relationship Type="http://schemas.openxmlformats.org/officeDocument/2006/relationships/hyperlink" Target="https://www.mercadolibre.com.ar/modulo-pata-samsung-a20s-a207-con-marco-display-tactil-lcd-sensible-preciso-colores-brillo-ajuste-exacto-repuesto-reparacion-celular-servicio-tecnico-resistente-duradero-probado-verificado-encast/p/MLA66315231" TargetMode="External" Id="rId9"/><Relationship Type="http://schemas.openxmlformats.org/officeDocument/2006/relationships/hyperlink" Target="https://www.mercadolibre.com.ar/modulo-pantalla-motorola-moto-g8-power-display-tactil-lcd-touch-sensible-preciso-contraste-imagen-ajuste-correcto-repuesto-reparacion-celular-servicio-tecnico-resistente-duradero/p/MLA66639646" TargetMode="External" Id="rId10"/><Relationship Type="http://schemas.openxmlformats.org/officeDocument/2006/relationships/hyperlink" Target="https://www.mercadolibre.com.ar/modulo-para-samsung-a20-a205-oled-cmarco-mecanico-pantalla-negro/p/MLA66217248" TargetMode="External" Id="rId11"/><Relationship Type="http://schemas.openxmlformats.org/officeDocument/2006/relationships/hyperlink" Target="https://www.mercadolibre.com.ar/modulo-compatible-con-tcl-20b-mecanico-display-tactil-negro/p/MLA66316258" TargetMode="External" Id="rId12"/><Relationship Type="http://schemas.openxmlformats.org/officeDocument/2006/relationships/hyperlink" Target="https://www.mercadolibre.com.ar/modulo-para-motorola-g35-5g-xt2433-mecanico-display-touch-negro/p/MLA66317387" TargetMode="External" Id="rId13"/><Relationship Type="http://schemas.openxmlformats.org/officeDocument/2006/relationships/hyperlink" Target="https://www.mercadolibre.com.ar/modulo-para-motorola-e6s-e6i-mecanico-display-touch-negro/p/MLA66146258" TargetMode="External" Id="rId14"/><Relationship Type="http://schemas.openxmlformats.org/officeDocument/2006/relationships/hyperlink" Target="https://www.mercadolibre.com.ar/modulo-para-samsung-j710-oled-mecanico-display-touch-blanco/p/MLA66119092" TargetMode="External" Id="rId15"/><Relationship Type="http://schemas.openxmlformats.org/officeDocument/2006/relationships/hyperlink" Target="https://www.mercadolibre.com.ar/modulo-para-moto-g75-xt2437-mecanico-display-tactil/up/MLAU3510519573" TargetMode="External" Id="rId16"/><Relationship Type="http://schemas.openxmlformats.org/officeDocument/2006/relationships/hyperlink" Target="https://www.mercadolibre.com.ar/modulo-para-lg-k50-q60-mecanico-display-touch/up/MLAU3522129566" TargetMode="External" Id="rId17"/><Relationship Type="http://schemas.openxmlformats.org/officeDocument/2006/relationships/hyperlink" Target="https://www.mercadolibre.com.ar/modulo-compatible-iphone-12-12-pro-mecanico--ic-removible/up/MLAU3828616969" TargetMode="External" Id="rId18"/><Relationship Type="http://schemas.openxmlformats.org/officeDocument/2006/relationships/hyperlink" Target="https://www.mercadolibre.com.ar/modulo-para-motorola-one-hyper-xt2027-mecanico-display/up/MLAU3517760608" TargetMode="External" Id="rId19"/><Relationship Type="http://schemas.openxmlformats.org/officeDocument/2006/relationships/hyperlink" Target="https://www.mercadolibre.com.ar/modulo-para-moto-e7-e7-power-e7i--cmarco-mecanico-display/up/MLAU3520834579" TargetMode="External" Id="rId20"/><Relationship Type="http://schemas.openxmlformats.org/officeDocument/2006/relationships/hyperlink" Target="https://www.mercadolibre.com.ar/modulo-para-moto-e7-e7-power-e7i-mecanico-display-tactil/up/MLAU3520850951" TargetMode="External" Id="rId21"/><Relationship Type="http://schemas.openxmlformats.org/officeDocument/2006/relationships/hyperlink" Target="https://www.mercadolibre.com.ar/modulo-para-moto-g7-power-xt1955-mecanico-display-tactil/up/MLAU3834951923" TargetMode="External" Id="rId22"/><Relationship Type="http://schemas.openxmlformats.org/officeDocument/2006/relationships/hyperlink" Target="https://www.mercadolibre.com.ar/modulo-para-iphone-xr-display-lcd-tactil-touch-pantalla/up/MLAU3829865075" TargetMode="External" Id="rId23"/><Relationship Type="http://schemas.openxmlformats.org/officeDocument/2006/relationships/hyperlink" Target="https://www.mercadolibre.com.ar/modulo-para-samsung-a05-a055-mecanico-display-tactil/up/MLAU3832477993" TargetMode="External" Id="rId24"/><Relationship Type="http://schemas.openxmlformats.org/officeDocument/2006/relationships/hyperlink" Target="https://www.mercadolibre.com.ar/modulo-para-moto-g42-xt2233-incell-mecanico-display-tactil/up/MLAU3833863203" TargetMode="External" Id="rId25"/><Relationship Type="http://schemas.openxmlformats.org/officeDocument/2006/relationships/hyperlink" Target="https://www.mercadolibre.com.ar/modulo-para-tcl-40s-univ-40540850740s-mecanico-display/up/MLAU3834061249" TargetMode="External" Id="rId26"/><Relationship Type="http://schemas.openxmlformats.org/officeDocument/2006/relationships/hyperlink" Target="https://www.mercadolibre.com.ar/modulo-para-motorola-moto-e13-xt2345-mecanico-display-tactil/up/MLAU3836088374" TargetMode="External" Id="rId27"/><Relationship Type="http://schemas.openxmlformats.org/officeDocument/2006/relationships/hyperlink" Target="https://www.mercadolibre.com.ar/modulo-para-samsung-a20-a205-cmarco-mecanico-display-tactil/up/MLAU3505554809" TargetMode="External" Id="rId28"/><Relationship Type="http://schemas.openxmlformats.org/officeDocument/2006/relationships/hyperlink" Target="https://www.mercadolibre.com.ar/modulo-para-zte-blade-v53-plus-vita-mecanico-tactil-display/up/MLAU3838691676" TargetMode="External" Id="rId29"/><Relationship Type="http://schemas.openxmlformats.org/officeDocument/2006/relationships/hyperlink" Target="https://www.mercadolibre.com.ar/modulo-compatible-samsung-j7-prime-mecanico-g610-blanco/up/MLAU3842808548" TargetMode="External" Id="rId30"/><Relationship Type="http://schemas.openxmlformats.org/officeDocument/2006/relationships/hyperlink" Target="https://www.mercadolibre.com.ar/modulo-para-samsung-a05s-a057-mecanico-con-marco-incell/up/MLAU3844433088" TargetMode="External" Id="rId31"/><Relationship Type="http://schemas.openxmlformats.org/officeDocument/2006/relationships/hyperlink" Target="https://www.mercadolibre.com.ar/modulo-para-samsung-a30s-oled-mecanico-display-touch/up/MLAU3514320004" TargetMode="External" Id="rId32"/><Relationship Type="http://schemas.openxmlformats.org/officeDocument/2006/relationships/hyperlink" Target="https://www.mercadolibre.com.ar/modulo-compatible-lg-k51s-mecanico-smarco-display-tactil/up/MLAU3845149978" TargetMode="External" Id="rId33"/><Relationship Type="http://schemas.openxmlformats.org/officeDocument/2006/relationships/hyperlink" Target="https://www.mercadolibre.com.ar/modulo-para-iphone-12-pro-max-oled-mecanico-ic-removible/up/MLAU3516923204" TargetMode="External" Id="rId34"/><Relationship Type="http://schemas.openxmlformats.org/officeDocument/2006/relationships/hyperlink" Target="https://www.mercadolibre.com.ar/modulo-pantalla-motorola-g7-power-con-marco-mecanico-tactil/up/MLAU3840280350" TargetMode="External" Id="rId35"/><Relationship Type="http://schemas.openxmlformats.org/officeDocument/2006/relationships/hyperlink" Target="https://www.mercadolibre.com.ar/modulo-para-samsung-a11-a115-mecanico-tactil-display-smarco/up/MLAU3846168892" TargetMode="External" Id="rId36"/><Relationship Type="http://schemas.openxmlformats.org/officeDocument/2006/relationships/hyperlink" Target="https://www.mercadolibre.com.ar/modulo-para-moto-g31-g41-g71-oled-mecanico-display-tactil/up/MLAU3514512938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4" customWidth="1" min="4" max="4"/>
    <col width="14" customWidth="1" min="5" max="5"/>
    <col width="18" customWidth="1" min="6" max="6"/>
  </cols>
  <sheetData>
    <row r="1" ht="28" customHeight="1">
      <c r="A1" s="1" t="inlineStr">
        <is>
          <t>TIENDA MECÁNICO — Módulos Publicados en MercadoLibre | 15/03/2026</t>
        </is>
      </c>
    </row>
    <row r="2" ht="20" customHeight="1">
      <c r="A2" s="2" t="inlineStr">
        <is>
          <t>#</t>
        </is>
      </c>
      <c r="B2" s="2" t="inlineStr">
        <is>
          <t>Modelo</t>
        </is>
      </c>
      <c r="C2" s="2" t="inlineStr">
        <is>
          <t>Descripción publicación</t>
        </is>
      </c>
      <c r="D2" s="2" t="inlineStr">
        <is>
          <t>Precio lista</t>
        </is>
      </c>
      <c r="E2" s="2" t="inlineStr">
        <is>
          <t>Precio c/desc</t>
        </is>
      </c>
      <c r="F2" s="2" t="inlineStr">
        <is>
          <t>Link ML</t>
        </is>
      </c>
    </row>
    <row r="3" ht="18" customHeight="1">
      <c r="A3" s="3" t="n">
        <v>1</v>
      </c>
      <c r="B3" s="4" t="inlineStr">
        <is>
          <t>Moto E22/E22i/E22s</t>
        </is>
      </c>
      <c r="C3" s="5" t="inlineStr">
        <is>
          <t>Modulo Moto E22/E22i/E22s Mecánico s/marco</t>
        </is>
      </c>
      <c r="D3" s="6" t="n">
        <v>23597</v>
      </c>
      <c r="E3" s="6" t="n">
        <v>21744</v>
      </c>
      <c r="F3" s="7" t="inlineStr">
        <is>
          <t>🔗 Ver publicación</t>
        </is>
      </c>
    </row>
    <row r="4" ht="18" customHeight="1">
      <c r="A4" s="8" t="n">
        <v>2</v>
      </c>
      <c r="B4" s="9" t="inlineStr">
        <is>
          <t>Samsung A22 4G c/marco</t>
        </is>
      </c>
      <c r="C4" s="10" t="inlineStr">
        <is>
          <t>Modulo Samsung A22 4G A225 c/marco</t>
        </is>
      </c>
      <c r="D4" s="11" t="n">
        <v>79755</v>
      </c>
      <c r="E4" s="11" t="n">
        <v>72721</v>
      </c>
      <c r="F4" s="12" t="inlineStr">
        <is>
          <t>🔗 Ver publicación</t>
        </is>
      </c>
    </row>
    <row r="5" ht="18" customHeight="1">
      <c r="A5" s="3" t="n">
        <v>3</v>
      </c>
      <c r="B5" s="4" t="inlineStr">
        <is>
          <t>Moto G8 Power Lite</t>
        </is>
      </c>
      <c r="C5" s="5" t="inlineStr">
        <is>
          <t>Modulo Moto G8 Power Lite XT2055 s/marco</t>
        </is>
      </c>
      <c r="D5" s="6" t="n">
        <v>31996</v>
      </c>
      <c r="E5" s="6" t="n">
        <v>29776</v>
      </c>
      <c r="F5" s="7" t="inlineStr">
        <is>
          <t>🔗 Ver publicación</t>
        </is>
      </c>
    </row>
    <row r="6" ht="18" customHeight="1">
      <c r="A6" s="8" t="n">
        <v>4</v>
      </c>
      <c r="B6" s="9" t="inlineStr">
        <is>
          <t>Samsung A54 OLED c/marco</t>
        </is>
      </c>
      <c r="C6" s="10" t="inlineStr">
        <is>
          <t>Modulo Samsung A54 A546 Big OLED c/marco</t>
        </is>
      </c>
      <c r="D6" s="11" t="n">
        <v>107121</v>
      </c>
      <c r="E6" s="11" t="n">
        <v>99060</v>
      </c>
      <c r="F6" s="12" t="inlineStr">
        <is>
          <t>🔗 Ver publicación</t>
        </is>
      </c>
    </row>
    <row r="7" ht="18" customHeight="1">
      <c r="A7" s="3" t="n">
        <v>5</v>
      </c>
      <c r="B7" s="4" t="inlineStr">
        <is>
          <t>Samsung A01 Core</t>
        </is>
      </c>
      <c r="C7" s="5" t="inlineStr">
        <is>
          <t>Modulo Samsung A01 Core A013</t>
        </is>
      </c>
      <c r="D7" s="6" t="n">
        <v>22146</v>
      </c>
      <c r="E7" s="6" t="n">
        <v>22146</v>
      </c>
      <c r="F7" s="7" t="inlineStr">
        <is>
          <t>🔗 Ver publicación</t>
        </is>
      </c>
    </row>
    <row r="8" ht="18" customHeight="1">
      <c r="A8" s="8" t="n">
        <v>6</v>
      </c>
      <c r="B8" s="9" t="inlineStr">
        <is>
          <t>Samsung J5 Prime</t>
        </is>
      </c>
      <c r="C8" s="10" t="inlineStr">
        <is>
          <t>Modulo Samsung J5 Prime G570</t>
        </is>
      </c>
      <c r="D8" s="11" t="n">
        <v>19204</v>
      </c>
      <c r="E8" s="11" t="n">
        <v>19204</v>
      </c>
      <c r="F8" s="12" t="inlineStr">
        <is>
          <t>🔗 Ver publicación</t>
        </is>
      </c>
    </row>
    <row r="9" ht="18" customHeight="1">
      <c r="A9" s="3" t="n">
        <v>7</v>
      </c>
      <c r="B9" s="4" t="inlineStr">
        <is>
          <t>Moto G9 Play c/marco</t>
        </is>
      </c>
      <c r="C9" s="5" t="inlineStr">
        <is>
          <t>Modulo Moto G9 Play c/marco XT2081</t>
        </is>
      </c>
      <c r="D9" s="6" t="n">
        <v>38144</v>
      </c>
      <c r="E9" s="6" t="n">
        <v>32999</v>
      </c>
      <c r="F9" s="7" t="inlineStr">
        <is>
          <t>🔗 Ver publicación</t>
        </is>
      </c>
    </row>
    <row r="10" ht="18" customHeight="1">
      <c r="A10" s="8" t="n">
        <v>8</v>
      </c>
      <c r="B10" s="9" t="inlineStr">
        <is>
          <t>iPhone 13</t>
        </is>
      </c>
      <c r="C10" s="10" t="inlineStr">
        <is>
          <t>Modulo iPhone 13 Mecánico Premium</t>
        </is>
      </c>
      <c r="D10" s="11" t="n">
        <v>116770</v>
      </c>
      <c r="E10" s="11" t="n">
        <v>96030</v>
      </c>
      <c r="F10" s="12" t="inlineStr">
        <is>
          <t>🔗 Ver publicación</t>
        </is>
      </c>
    </row>
    <row r="11" ht="18" customHeight="1">
      <c r="A11" s="3" t="n">
        <v>9</v>
      </c>
      <c r="B11" s="4" t="inlineStr">
        <is>
          <t>Samsung A20S c/marco</t>
        </is>
      </c>
      <c r="C11" s="5" t="inlineStr">
        <is>
          <t>Modulo Samsung A20S A207 c/marco</t>
        </is>
      </c>
      <c r="D11" s="6" t="n">
        <v>33098</v>
      </c>
      <c r="E11" s="6" t="n">
        <v>33098</v>
      </c>
      <c r="F11" s="7" t="inlineStr">
        <is>
          <t>🔗 Ver publicación</t>
        </is>
      </c>
    </row>
    <row r="12" ht="18" customHeight="1">
      <c r="A12" s="8" t="n">
        <v>10</v>
      </c>
      <c r="B12" s="9" t="inlineStr">
        <is>
          <t>Moto G8 Power</t>
        </is>
      </c>
      <c r="C12" s="10" t="inlineStr">
        <is>
          <t>Modulo Moto G8 Power s/marco</t>
        </is>
      </c>
      <c r="D12" s="11" t="n">
        <v>38091</v>
      </c>
      <c r="E12" s="11" t="n">
        <v>36186</v>
      </c>
      <c r="F12" s="12" t="inlineStr">
        <is>
          <t>🔗 Ver publicación</t>
        </is>
      </c>
    </row>
    <row r="13" ht="18" customHeight="1">
      <c r="A13" s="3" t="n">
        <v>11</v>
      </c>
      <c r="B13" s="4" t="inlineStr">
        <is>
          <t>Samsung A20 OLED c/marco</t>
        </is>
      </c>
      <c r="C13" s="5" t="inlineStr">
        <is>
          <t>Modulo Samsung A20 A205 OLED c/marco</t>
        </is>
      </c>
      <c r="D13" s="6" t="n">
        <v>82661</v>
      </c>
      <c r="E13" s="6" t="n">
        <v>74689</v>
      </c>
      <c r="F13" s="7" t="inlineStr">
        <is>
          <t>🔗 Ver publicación</t>
        </is>
      </c>
    </row>
    <row r="14" ht="18" customHeight="1">
      <c r="A14" s="8" t="n">
        <v>12</v>
      </c>
      <c r="B14" s="9" t="inlineStr">
        <is>
          <t>TCL 20B</t>
        </is>
      </c>
      <c r="C14" s="10" t="inlineStr">
        <is>
          <t>Modulo TCL 20B Mecánico</t>
        </is>
      </c>
      <c r="D14" s="11" t="n">
        <v>37957</v>
      </c>
      <c r="E14" s="11" t="n">
        <v>37957</v>
      </c>
      <c r="F14" s="12" t="inlineStr">
        <is>
          <t>🔗 Ver publicación</t>
        </is>
      </c>
    </row>
    <row r="15" ht="18" customHeight="1">
      <c r="A15" s="3" t="n">
        <v>13</v>
      </c>
      <c r="B15" s="4" t="inlineStr">
        <is>
          <t>Moto G35 5G</t>
        </is>
      </c>
      <c r="C15" s="5" t="inlineStr">
        <is>
          <t>Modulo Moto G35 5G XT2433</t>
        </is>
      </c>
      <c r="D15" s="6" t="n">
        <v>42357</v>
      </c>
      <c r="E15" s="6" t="n">
        <v>39170</v>
      </c>
      <c r="F15" s="7" t="inlineStr">
        <is>
          <t>🔗 Ver publicación</t>
        </is>
      </c>
    </row>
    <row r="16" ht="18" customHeight="1">
      <c r="A16" s="8" t="n">
        <v>14</v>
      </c>
      <c r="B16" s="9" t="inlineStr">
        <is>
          <t>Moto E6S/E6I</t>
        </is>
      </c>
      <c r="C16" s="10" t="inlineStr">
        <is>
          <t>Modulo Moto E6S/E6I s/marco</t>
        </is>
      </c>
      <c r="D16" s="11" t="n">
        <v>30168</v>
      </c>
      <c r="E16" s="11" t="n">
        <v>26730</v>
      </c>
      <c r="F16" s="12" t="inlineStr">
        <is>
          <t>🔗 Ver publicación</t>
        </is>
      </c>
    </row>
    <row r="17" ht="18" customHeight="1">
      <c r="A17" s="3" t="n">
        <v>15</v>
      </c>
      <c r="B17" s="4" t="inlineStr">
        <is>
          <t>Samsung J7 10 OLED</t>
        </is>
      </c>
      <c r="C17" s="5" t="inlineStr">
        <is>
          <t>Modulo Samsung J710 OLED</t>
        </is>
      </c>
      <c r="D17" s="6" t="n">
        <v>59841</v>
      </c>
      <c r="E17" s="6" t="n">
        <v>49156</v>
      </c>
      <c r="F17" s="7" t="inlineStr">
        <is>
          <t>🔗 Ver publicación</t>
        </is>
      </c>
    </row>
    <row r="18" ht="18" customHeight="1">
      <c r="A18" s="8" t="n">
        <v>16</v>
      </c>
      <c r="B18" s="9" t="inlineStr">
        <is>
          <t>Moto G75</t>
        </is>
      </c>
      <c r="C18" s="10" t="inlineStr">
        <is>
          <t>Modulo Moto G75 XT2437</t>
        </is>
      </c>
      <c r="D18" s="11" t="n">
        <v>46708</v>
      </c>
      <c r="E18" s="11" t="n">
        <v>37498</v>
      </c>
      <c r="F18" s="12" t="inlineStr">
        <is>
          <t>🔗 Ver publicación</t>
        </is>
      </c>
    </row>
    <row r="19" ht="18" customHeight="1">
      <c r="A19" s="3" t="n">
        <v>17</v>
      </c>
      <c r="B19" s="4" t="inlineStr">
        <is>
          <t>LG K50/Q60</t>
        </is>
      </c>
      <c r="C19" s="5" t="inlineStr">
        <is>
          <t>Modulo LG K50 Q60 Mecánico</t>
        </is>
      </c>
      <c r="D19" s="6" t="n">
        <v>48546</v>
      </c>
      <c r="E19" s="6" t="n">
        <v>41580</v>
      </c>
      <c r="F19" s="7" t="inlineStr">
        <is>
          <t>🔗 Ver publicación</t>
        </is>
      </c>
    </row>
    <row r="20" ht="18" customHeight="1">
      <c r="A20" s="8" t="n">
        <v>18</v>
      </c>
      <c r="B20" s="9" t="inlineStr">
        <is>
          <t>iPhone 12/12 Pro IC Rem</t>
        </is>
      </c>
      <c r="C20" s="10" t="inlineStr">
        <is>
          <t>Modulo iPhone 12/12 Pro IC Removible</t>
        </is>
      </c>
      <c r="D20" s="11" t="n">
        <v>76183</v>
      </c>
      <c r="E20" s="11" t="n">
        <v>65999</v>
      </c>
      <c r="F20" s="12" t="inlineStr">
        <is>
          <t>🔗 Ver publicación</t>
        </is>
      </c>
    </row>
    <row r="21" ht="18" customHeight="1">
      <c r="A21" s="3" t="n">
        <v>19</v>
      </c>
      <c r="B21" s="4" t="inlineStr">
        <is>
          <t>Motorola One Hyper</t>
        </is>
      </c>
      <c r="C21" s="5" t="inlineStr">
        <is>
          <t>Modulo Motorola One Hyper XT2027</t>
        </is>
      </c>
      <c r="D21" s="6" t="n">
        <v>24292</v>
      </c>
      <c r="E21" s="6" t="n">
        <v>24292</v>
      </c>
      <c r="F21" s="7" t="inlineStr">
        <is>
          <t>🔗 Ver publicación</t>
        </is>
      </c>
    </row>
    <row r="22" ht="18" customHeight="1">
      <c r="A22" s="8" t="n">
        <v>20</v>
      </c>
      <c r="B22" s="9" t="inlineStr">
        <is>
          <t>Moto E7/E7P/E7i c/marco</t>
        </is>
      </c>
      <c r="C22" s="10" t="inlineStr">
        <is>
          <t>Modulo Moto E7/E7 Power/E7i c/marco</t>
        </is>
      </c>
      <c r="D22" s="11" t="n">
        <v>30301</v>
      </c>
      <c r="E22" s="11" t="n">
        <v>30301</v>
      </c>
      <c r="F22" s="12" t="inlineStr">
        <is>
          <t>🔗 Ver publicación</t>
        </is>
      </c>
    </row>
    <row r="23" ht="18" customHeight="1">
      <c r="A23" s="3" t="n">
        <v>21</v>
      </c>
      <c r="B23" s="4" t="inlineStr">
        <is>
          <t>Moto E7/E7P/E7i s/marco</t>
        </is>
      </c>
      <c r="C23" s="5" t="inlineStr">
        <is>
          <t>Modulo Moto E7/E7 Power/E7i s/marco</t>
        </is>
      </c>
      <c r="D23" s="6" t="n">
        <v>24115</v>
      </c>
      <c r="E23" s="6" t="n">
        <v>22301</v>
      </c>
      <c r="F23" s="7" t="inlineStr">
        <is>
          <t>🔗 Ver publicación</t>
        </is>
      </c>
    </row>
    <row r="24" ht="18" customHeight="1">
      <c r="A24" s="8" t="n">
        <v>22</v>
      </c>
      <c r="B24" s="9" t="inlineStr">
        <is>
          <t>Moto G7 Power s/marco</t>
        </is>
      </c>
      <c r="C24" s="10" t="inlineStr">
        <is>
          <t>Modulo Moto G7 Power XT1955 s/marco</t>
        </is>
      </c>
      <c r="D24" s="11" t="n">
        <v>27329</v>
      </c>
      <c r="E24" s="11" t="n">
        <v>27329</v>
      </c>
      <c r="F24" s="12" t="inlineStr">
        <is>
          <t>🔗 Ver publicación</t>
        </is>
      </c>
    </row>
    <row r="25" ht="18" customHeight="1">
      <c r="A25" s="3" t="n">
        <v>23</v>
      </c>
      <c r="B25" s="4" t="inlineStr">
        <is>
          <t>iPhone XR</t>
        </is>
      </c>
      <c r="C25" s="5" t="inlineStr">
        <is>
          <t>Modulo iPhone XR s/IC</t>
        </is>
      </c>
      <c r="D25" s="6" t="n">
        <v>59719</v>
      </c>
      <c r="E25" s="6" t="n">
        <v>54999</v>
      </c>
      <c r="F25" s="7" t="inlineStr">
        <is>
          <t>🔗 Ver publicación</t>
        </is>
      </c>
    </row>
    <row r="26" ht="18" customHeight="1">
      <c r="A26" s="8" t="n">
        <v>24</v>
      </c>
      <c r="B26" s="9" t="inlineStr">
        <is>
          <t>Samsung A05</t>
        </is>
      </c>
      <c r="C26" s="10" t="inlineStr">
        <is>
          <t>Modulo Samsung A05 A055</t>
        </is>
      </c>
      <c r="D26" s="11" t="n">
        <v>30062</v>
      </c>
      <c r="E26" s="11" t="n">
        <v>30062</v>
      </c>
      <c r="F26" s="12" t="inlineStr">
        <is>
          <t>🔗 Ver publicación</t>
        </is>
      </c>
    </row>
    <row r="27" ht="18" customHeight="1">
      <c r="A27" s="3" t="n">
        <v>25</v>
      </c>
      <c r="B27" s="4" t="inlineStr">
        <is>
          <t>Moto G42 Incell</t>
        </is>
      </c>
      <c r="C27" s="5" t="inlineStr">
        <is>
          <t>Modulo Moto G42 XT2233 Incell</t>
        </is>
      </c>
      <c r="D27" s="6" t="n">
        <v>51485</v>
      </c>
      <c r="E27" s="6" t="n">
        <v>51485</v>
      </c>
      <c r="F27" s="7" t="inlineStr">
        <is>
          <t>🔗 Ver publicación</t>
        </is>
      </c>
    </row>
    <row r="28" ht="18" customHeight="1">
      <c r="A28" s="8" t="n">
        <v>26</v>
      </c>
      <c r="B28" s="9" t="inlineStr">
        <is>
          <t>TCL 40S/405/408/507</t>
        </is>
      </c>
      <c r="C28" s="10" t="inlineStr">
        <is>
          <t>Modulo TCL 40S/405/408/507</t>
        </is>
      </c>
      <c r="D28" s="11" t="n">
        <v>43883</v>
      </c>
      <c r="E28" s="11" t="n">
        <v>43883</v>
      </c>
      <c r="F28" s="12" t="inlineStr">
        <is>
          <t>🔗 Ver publicación</t>
        </is>
      </c>
    </row>
    <row r="29" ht="18" customHeight="1">
      <c r="A29" s="3" t="n">
        <v>27</v>
      </c>
      <c r="B29" s="4" t="inlineStr">
        <is>
          <t>Moto E13</t>
        </is>
      </c>
      <c r="C29" s="5" t="inlineStr">
        <is>
          <t>Modulo Moto E13 XT2345</t>
        </is>
      </c>
      <c r="D29" s="6" t="n">
        <v>33402</v>
      </c>
      <c r="E29" s="6" t="n">
        <v>33402</v>
      </c>
      <c r="F29" s="7" t="inlineStr">
        <is>
          <t>🔗 Ver publicación</t>
        </is>
      </c>
    </row>
    <row r="30" ht="18" customHeight="1">
      <c r="A30" s="8" t="n">
        <v>28</v>
      </c>
      <c r="B30" s="9" t="inlineStr">
        <is>
          <t>Samsung A20 c/marco</t>
        </is>
      </c>
      <c r="C30" s="10" t="inlineStr">
        <is>
          <t>Modulo Samsung A20 A205 c/marco (LCD)</t>
        </is>
      </c>
      <c r="D30" s="11" t="n">
        <v>60893</v>
      </c>
      <c r="E30" s="11" t="n">
        <v>56113</v>
      </c>
      <c r="F30" s="12" t="inlineStr">
        <is>
          <t>🔗 Ver publicación</t>
        </is>
      </c>
    </row>
    <row r="31" ht="18" customHeight="1">
      <c r="A31" s="3" t="n">
        <v>29</v>
      </c>
      <c r="B31" s="4" t="inlineStr">
        <is>
          <t>ZTE Blade V53 Plus</t>
        </is>
      </c>
      <c r="C31" s="5" t="inlineStr">
        <is>
          <t>Modulo ZTE Blade V53 Plus Vita</t>
        </is>
      </c>
      <c r="D31" s="6" t="n">
        <v>44732</v>
      </c>
      <c r="E31" s="6" t="n">
        <v>37620</v>
      </c>
      <c r="F31" s="7" t="inlineStr">
        <is>
          <t>🔗 Ver publicación</t>
        </is>
      </c>
    </row>
    <row r="32" ht="18" customHeight="1">
      <c r="A32" s="8" t="n">
        <v>30</v>
      </c>
      <c r="B32" s="9" t="inlineStr">
        <is>
          <t>Samsung J7 Prime</t>
        </is>
      </c>
      <c r="C32" s="10" t="inlineStr">
        <is>
          <t>Modulo Samsung J7 Prime G610</t>
        </is>
      </c>
      <c r="D32" s="11" t="n">
        <v>23989</v>
      </c>
      <c r="E32" s="11" t="n">
        <v>23989</v>
      </c>
      <c r="F32" s="12" t="inlineStr">
        <is>
          <t>🔗 Ver publicación</t>
        </is>
      </c>
    </row>
    <row r="33" ht="18" customHeight="1">
      <c r="A33" s="3" t="n">
        <v>31</v>
      </c>
      <c r="B33" s="4" t="inlineStr">
        <is>
          <t>Samsung A05S c/marco</t>
        </is>
      </c>
      <c r="C33" s="5" t="inlineStr">
        <is>
          <t>Modulo Samsung A05S A057 c/marco Incell</t>
        </is>
      </c>
      <c r="D33" s="6" t="n">
        <v>48030</v>
      </c>
      <c r="E33" s="6" t="n">
        <v>48030</v>
      </c>
      <c r="F33" s="7" t="inlineStr">
        <is>
          <t>🔗 Ver publicación</t>
        </is>
      </c>
    </row>
    <row r="34" ht="18" customHeight="1">
      <c r="A34" s="8" t="n">
        <v>32</v>
      </c>
      <c r="B34" s="9" t="inlineStr">
        <is>
          <t>Samsung A30S OLED</t>
        </is>
      </c>
      <c r="C34" s="10" t="inlineStr">
        <is>
          <t>Modulo Samsung A30S OLED</t>
        </is>
      </c>
      <c r="D34" s="11" t="n">
        <v>89811</v>
      </c>
      <c r="E34" s="11" t="n">
        <v>85321</v>
      </c>
      <c r="F34" s="12" t="inlineStr">
        <is>
          <t>🔗 Ver publicación</t>
        </is>
      </c>
    </row>
    <row r="35" ht="18" customHeight="1">
      <c r="A35" s="3" t="n">
        <v>33</v>
      </c>
      <c r="B35" s="4" t="inlineStr">
        <is>
          <t>LG K51S</t>
        </is>
      </c>
      <c r="C35" s="5" t="inlineStr">
        <is>
          <t>Modulo LG K51S s/marco</t>
        </is>
      </c>
      <c r="D35" s="6" t="n">
        <v>46648</v>
      </c>
      <c r="E35" s="6" t="n">
        <v>46648</v>
      </c>
      <c r="F35" s="7" t="inlineStr">
        <is>
          <t>🔗 Ver publicación</t>
        </is>
      </c>
    </row>
    <row r="36" ht="18" customHeight="1">
      <c r="A36" s="8" t="n">
        <v>34</v>
      </c>
      <c r="B36" s="9" t="inlineStr">
        <is>
          <t>iPhone 12 Pro Max OLED</t>
        </is>
      </c>
      <c r="C36" s="10" t="inlineStr">
        <is>
          <t>Modulo iPhone 12 Pro Max OLED IC Rem</t>
        </is>
      </c>
      <c r="D36" s="11" t="n">
        <v>207325</v>
      </c>
      <c r="E36" s="11" t="n">
        <v>207325</v>
      </c>
      <c r="F36" s="12" t="inlineStr">
        <is>
          <t>🔗 Ver publicación</t>
        </is>
      </c>
    </row>
    <row r="37" ht="18" customHeight="1">
      <c r="A37" s="3" t="n">
        <v>35</v>
      </c>
      <c r="B37" s="4" t="inlineStr">
        <is>
          <t>Moto G7 Power c/marco</t>
        </is>
      </c>
      <c r="C37" s="5" t="inlineStr">
        <is>
          <t>Modulo Moto G7 Power c/marco</t>
        </is>
      </c>
      <c r="D37" s="6" t="n">
        <v>31884</v>
      </c>
      <c r="E37" s="6" t="n">
        <v>31884</v>
      </c>
      <c r="F37" s="7" t="inlineStr">
        <is>
          <t>🔗 Ver publicación</t>
        </is>
      </c>
    </row>
    <row r="38" ht="18" customHeight="1">
      <c r="A38" s="8" t="n">
        <v>36</v>
      </c>
      <c r="B38" s="9" t="inlineStr">
        <is>
          <t>Samsung A11</t>
        </is>
      </c>
      <c r="C38" s="10" t="inlineStr">
        <is>
          <t>Modulo Samsung A11 A115 s/marco</t>
        </is>
      </c>
      <c r="D38" s="11" t="n">
        <v>24750</v>
      </c>
      <c r="E38" s="11" t="n">
        <v>24750</v>
      </c>
      <c r="F38" s="12" t="inlineStr">
        <is>
          <t>🔗 Ver publicación</t>
        </is>
      </c>
    </row>
    <row r="39" ht="18" customHeight="1">
      <c r="A39" s="3" t="n">
        <v>37</v>
      </c>
      <c r="B39" s="4" t="inlineStr">
        <is>
          <t>Moto G31/G41/G71 OLED</t>
        </is>
      </c>
      <c r="C39" s="5" t="inlineStr">
        <is>
          <t>Modulo Moto G31/G41/G71 OLED</t>
        </is>
      </c>
      <c r="D39" s="6" t="n">
        <v>103317</v>
      </c>
      <c r="E39" s="6" t="n">
        <v>103317</v>
      </c>
      <c r="F39" s="7" t="inlineStr">
        <is>
          <t>🔗 Ver publicación</t>
        </is>
      </c>
    </row>
    <row r="40">
      <c r="B40" s="13" t="inlineStr">
        <is>
          <t>TOTAL: 37 módulos publicados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2" customWidth="1" min="4" max="4"/>
  </cols>
  <sheetData>
    <row r="1" ht="28" customHeight="1">
      <c r="A1" s="1" t="inlineStr">
        <is>
          <t>SARA CELL — Lista de Precios Competencia | Relevado 15/03/2026</t>
        </is>
      </c>
    </row>
    <row r="2">
      <c r="A2" s="2" t="inlineStr">
        <is>
          <t>Modelo</t>
        </is>
      </c>
      <c r="B2" s="2" t="inlineStr">
        <is>
          <t>Variante / Tipo</t>
        </is>
      </c>
      <c r="C2" s="2" t="inlineStr">
        <is>
          <t>Precio ARS</t>
        </is>
      </c>
      <c r="D2" s="2" t="inlineStr">
        <is>
          <t>Disponible</t>
        </is>
      </c>
    </row>
    <row r="3" ht="16" customHeight="1">
      <c r="A3" s="14" t="inlineStr">
        <is>
          <t>▶ SAMSUNG</t>
        </is>
      </c>
    </row>
    <row r="4" ht="16" customHeight="1">
      <c r="A4" s="15" t="inlineStr">
        <is>
          <t>Samsung A01</t>
        </is>
      </c>
      <c r="B4" s="16" t="inlineStr">
        <is>
          <t>S/PACK c/marco</t>
        </is>
      </c>
      <c r="C4" s="17" t="n">
        <v>22500</v>
      </c>
      <c r="D4" s="18" t="inlineStr">
        <is>
          <t>✓</t>
        </is>
      </c>
    </row>
    <row r="5" ht="16" customHeight="1">
      <c r="A5" s="15" t="inlineStr">
        <is>
          <t>Samsung A02S</t>
        </is>
      </c>
      <c r="B5" s="16" t="inlineStr">
        <is>
          <t>S/PACK c/marco</t>
        </is>
      </c>
      <c r="C5" s="17" t="n">
        <v>25500</v>
      </c>
      <c r="D5" s="18" t="inlineStr">
        <is>
          <t>✓</t>
        </is>
      </c>
    </row>
    <row r="6" ht="16" customHeight="1">
      <c r="A6" s="19" t="inlineStr">
        <is>
          <t>Samsung A03 Core</t>
        </is>
      </c>
      <c r="B6" s="20" t="inlineStr">
        <is>
          <t>S/PACK c/marco</t>
        </is>
      </c>
      <c r="C6" s="21" t="inlineStr">
        <is>
          <t>SIN STOCK</t>
        </is>
      </c>
      <c r="D6" s="22" t="inlineStr">
        <is>
          <t>✗</t>
        </is>
      </c>
    </row>
    <row r="7" ht="16" customHeight="1">
      <c r="A7" s="15" t="inlineStr">
        <is>
          <t>Samsung A10</t>
        </is>
      </c>
      <c r="B7" s="16" t="inlineStr">
        <is>
          <t>S/PACK c/marco</t>
        </is>
      </c>
      <c r="C7" s="17" t="n">
        <v>23500</v>
      </c>
      <c r="D7" s="18" t="inlineStr">
        <is>
          <t>✓</t>
        </is>
      </c>
    </row>
    <row r="8" ht="16" customHeight="1">
      <c r="A8" s="15" t="inlineStr">
        <is>
          <t>Samsung A10S</t>
        </is>
      </c>
      <c r="B8" s="16" t="inlineStr">
        <is>
          <t>S/PACK c/marco</t>
        </is>
      </c>
      <c r="C8" s="17" t="n">
        <v>23500</v>
      </c>
      <c r="D8" s="18" t="inlineStr">
        <is>
          <t>✓</t>
        </is>
      </c>
    </row>
    <row r="9" ht="16" customHeight="1">
      <c r="A9" s="15" t="inlineStr">
        <is>
          <t>Samsung A17</t>
        </is>
      </c>
      <c r="B9" s="16" t="inlineStr">
        <is>
          <t>S/PACK c/marco</t>
        </is>
      </c>
      <c r="C9" s="17" t="n">
        <v>120000</v>
      </c>
      <c r="D9" s="18" t="inlineStr">
        <is>
          <t>✓</t>
        </is>
      </c>
    </row>
    <row r="10" ht="16" customHeight="1">
      <c r="A10" s="15" t="inlineStr">
        <is>
          <t>Samsung A20S</t>
        </is>
      </c>
      <c r="B10" s="16" t="inlineStr">
        <is>
          <t>S/PACK c/marco</t>
        </is>
      </c>
      <c r="C10" s="17" t="n">
        <v>25000</v>
      </c>
      <c r="D10" s="18" t="inlineStr">
        <is>
          <t>✓</t>
        </is>
      </c>
    </row>
    <row r="11" ht="16" customHeight="1">
      <c r="A11" s="19" t="inlineStr">
        <is>
          <t>Samsung A22 4G</t>
        </is>
      </c>
      <c r="B11" s="20" t="inlineStr">
        <is>
          <t>ORIG WEZ c/marco</t>
        </is>
      </c>
      <c r="C11" s="21" t="inlineStr">
        <is>
          <t>SIN STOCK</t>
        </is>
      </c>
      <c r="D11" s="22" t="inlineStr">
        <is>
          <t>✗</t>
        </is>
      </c>
    </row>
    <row r="12" ht="16" customHeight="1">
      <c r="A12" s="19" t="inlineStr">
        <is>
          <t>Samsung A23 5G</t>
        </is>
      </c>
      <c r="B12" s="20" t="inlineStr">
        <is>
          <t>S/PACK c/marco</t>
        </is>
      </c>
      <c r="C12" s="21" t="inlineStr">
        <is>
          <t>SIN STOCK</t>
        </is>
      </c>
      <c r="D12" s="22" t="inlineStr">
        <is>
          <t>✗</t>
        </is>
      </c>
    </row>
    <row r="13" ht="16" customHeight="1">
      <c r="A13" s="15" t="inlineStr">
        <is>
          <t>Samsung A32</t>
        </is>
      </c>
      <c r="B13" s="16" t="inlineStr">
        <is>
          <t>AMERICANO c/marco</t>
        </is>
      </c>
      <c r="C13" s="17" t="n">
        <v>121500</v>
      </c>
      <c r="D13" s="18" t="inlineStr">
        <is>
          <t>✓</t>
        </is>
      </c>
    </row>
    <row r="14" ht="16" customHeight="1">
      <c r="A14" s="15" t="inlineStr">
        <is>
          <t>Samsung A34</t>
        </is>
      </c>
      <c r="B14" s="16" t="inlineStr">
        <is>
          <t>AMERICANO c/marco</t>
        </is>
      </c>
      <c r="C14" s="17" t="n">
        <v>138500</v>
      </c>
      <c r="D14" s="18" t="inlineStr">
        <is>
          <t>✓</t>
        </is>
      </c>
    </row>
    <row r="15" ht="16" customHeight="1">
      <c r="A15" s="15" t="inlineStr">
        <is>
          <t>Samsung A51</t>
        </is>
      </c>
      <c r="B15" s="16" t="inlineStr">
        <is>
          <t>AMERICANO c/marco</t>
        </is>
      </c>
      <c r="C15" s="17" t="n">
        <v>138500</v>
      </c>
      <c r="D15" s="18" t="inlineStr">
        <is>
          <t>✓</t>
        </is>
      </c>
    </row>
    <row r="16" ht="16" customHeight="1">
      <c r="A16" s="15" t="inlineStr">
        <is>
          <t>Samsung S24 Ultra</t>
        </is>
      </c>
      <c r="B16" s="16" t="inlineStr">
        <is>
          <t>ORIG c/marco</t>
        </is>
      </c>
      <c r="C16" s="17" t="n">
        <v>513000</v>
      </c>
      <c r="D16" s="18" t="inlineStr">
        <is>
          <t>✓</t>
        </is>
      </c>
    </row>
    <row r="17" ht="16" customHeight="1">
      <c r="A17" s="15" t="inlineStr">
        <is>
          <t>Samsung A01 Core</t>
        </is>
      </c>
      <c r="B17" s="16" t="inlineStr">
        <is>
          <t>C/M</t>
        </is>
      </c>
      <c r="C17" s="17" t="n">
        <v>10000</v>
      </c>
      <c r="D17" s="18" t="inlineStr">
        <is>
          <t>✓</t>
        </is>
      </c>
    </row>
    <row r="18" ht="16" customHeight="1">
      <c r="A18" s="15" t="inlineStr">
        <is>
          <t>Samsung A03</t>
        </is>
      </c>
      <c r="B18" s="16" t="inlineStr">
        <is>
          <t>C/M</t>
        </is>
      </c>
      <c r="C18" s="17" t="n">
        <v>14000</v>
      </c>
      <c r="D18" s="18" t="inlineStr">
        <is>
          <t>✓</t>
        </is>
      </c>
    </row>
    <row r="19" ht="16" customHeight="1">
      <c r="A19" s="15" t="inlineStr">
        <is>
          <t>Samsung A04 E</t>
        </is>
      </c>
      <c r="B19" s="16" t="inlineStr">
        <is>
          <t>C/M</t>
        </is>
      </c>
      <c r="C19" s="17" t="n">
        <v>14000</v>
      </c>
      <c r="D19" s="18" t="inlineStr">
        <is>
          <t>✓</t>
        </is>
      </c>
    </row>
    <row r="20" ht="16" customHeight="1">
      <c r="A20" s="15" t="inlineStr">
        <is>
          <t>Samsung A04S</t>
        </is>
      </c>
      <c r="B20" s="16" t="inlineStr">
        <is>
          <t>C/M</t>
        </is>
      </c>
      <c r="C20" s="17" t="n">
        <v>14000</v>
      </c>
      <c r="D20" s="18" t="inlineStr">
        <is>
          <t>✓</t>
        </is>
      </c>
    </row>
    <row r="21" ht="16" customHeight="1">
      <c r="A21" s="15" t="inlineStr">
        <is>
          <t>Samsung A05</t>
        </is>
      </c>
      <c r="B21" s="16" t="inlineStr">
        <is>
          <t>C/M</t>
        </is>
      </c>
      <c r="C21" s="17" t="n">
        <v>15000</v>
      </c>
      <c r="D21" s="18" t="inlineStr">
        <is>
          <t>✓</t>
        </is>
      </c>
    </row>
    <row r="22" ht="16" customHeight="1">
      <c r="A22" s="15" t="inlineStr">
        <is>
          <t>Samsung A06</t>
        </is>
      </c>
      <c r="B22" s="16" t="inlineStr">
        <is>
          <t>C/M</t>
        </is>
      </c>
      <c r="C22" s="17" t="n">
        <v>18000</v>
      </c>
      <c r="D22" s="18" t="inlineStr">
        <is>
          <t>✓</t>
        </is>
      </c>
    </row>
    <row r="23" ht="16" customHeight="1">
      <c r="A23" s="15" t="inlineStr">
        <is>
          <t>Samsung A07</t>
        </is>
      </c>
      <c r="B23" s="16" t="inlineStr">
        <is>
          <t>C/M</t>
        </is>
      </c>
      <c r="C23" s="17" t="n">
        <v>20000</v>
      </c>
      <c r="D23" s="18" t="inlineStr">
        <is>
          <t>✓</t>
        </is>
      </c>
    </row>
    <row r="24" ht="16" customHeight="1">
      <c r="A24" s="15" t="inlineStr">
        <is>
          <t>Samsung A10S</t>
        </is>
      </c>
      <c r="B24" s="16" t="inlineStr">
        <is>
          <t>C/M</t>
        </is>
      </c>
      <c r="C24" s="17" t="n">
        <v>13000</v>
      </c>
      <c r="D24" s="18" t="inlineStr">
        <is>
          <t>✓</t>
        </is>
      </c>
    </row>
    <row r="25" ht="16" customHeight="1">
      <c r="A25" s="15" t="inlineStr">
        <is>
          <t>Samsung A11</t>
        </is>
      </c>
      <c r="B25" s="16" t="inlineStr">
        <is>
          <t>C/M</t>
        </is>
      </c>
      <c r="C25" s="17" t="n">
        <v>14000</v>
      </c>
      <c r="D25" s="18" t="inlineStr">
        <is>
          <t>✓</t>
        </is>
      </c>
    </row>
    <row r="26" ht="16" customHeight="1">
      <c r="A26" s="15" t="inlineStr">
        <is>
          <t>Samsung A12 Universal</t>
        </is>
      </c>
      <c r="B26" s="16" t="inlineStr">
        <is>
          <t>C/M</t>
        </is>
      </c>
      <c r="C26" s="17" t="n">
        <v>13000</v>
      </c>
      <c r="D26" s="18" t="inlineStr">
        <is>
          <t>✓</t>
        </is>
      </c>
    </row>
    <row r="27" ht="16" customHeight="1">
      <c r="A27" s="15" t="inlineStr">
        <is>
          <t>Samsung A15 OLED</t>
        </is>
      </c>
      <c r="B27" s="16" t="inlineStr">
        <is>
          <t>C/M gran pantalla</t>
        </is>
      </c>
      <c r="C27" s="17" t="n">
        <v>45000</v>
      </c>
      <c r="D27" s="18" t="inlineStr">
        <is>
          <t>✓</t>
        </is>
      </c>
    </row>
    <row r="28" ht="16" customHeight="1">
      <c r="A28" s="15" t="inlineStr">
        <is>
          <t>Samsung A16 4G OLED</t>
        </is>
      </c>
      <c r="B28" s="16" t="inlineStr">
        <is>
          <t>C/M</t>
        </is>
      </c>
      <c r="C28" s="17" t="n">
        <v>58000</v>
      </c>
      <c r="D28" s="18" t="inlineStr">
        <is>
          <t>✓</t>
        </is>
      </c>
    </row>
    <row r="29" ht="16" customHeight="1">
      <c r="A29" s="15" t="inlineStr">
        <is>
          <t>Samsung A20</t>
        </is>
      </c>
      <c r="B29" s="16" t="inlineStr">
        <is>
          <t>C/M</t>
        </is>
      </c>
      <c r="C29" s="17" t="n">
        <v>28000</v>
      </c>
      <c r="D29" s="18" t="inlineStr">
        <is>
          <t>✓</t>
        </is>
      </c>
    </row>
    <row r="30" ht="16" customHeight="1">
      <c r="A30" s="15" t="inlineStr">
        <is>
          <t>Samsung A20S</t>
        </is>
      </c>
      <c r="B30" s="16" t="inlineStr">
        <is>
          <t>C/M</t>
        </is>
      </c>
      <c r="C30" s="17" t="n">
        <v>12000</v>
      </c>
      <c r="D30" s="18" t="inlineStr">
        <is>
          <t>✓</t>
        </is>
      </c>
    </row>
    <row r="31" ht="16" customHeight="1">
      <c r="A31" s="15" t="inlineStr">
        <is>
          <t>Samsung A21S OLED</t>
        </is>
      </c>
      <c r="B31" s="16" t="inlineStr">
        <is>
          <t>C/M</t>
        </is>
      </c>
      <c r="C31" s="17" t="n">
        <v>14000</v>
      </c>
      <c r="D31" s="18" t="inlineStr">
        <is>
          <t>✓</t>
        </is>
      </c>
    </row>
    <row r="32" ht="16" customHeight="1">
      <c r="A32" s="15" t="inlineStr">
        <is>
          <t>Samsung A22 4G</t>
        </is>
      </c>
      <c r="B32" s="16" t="inlineStr">
        <is>
          <t>C/M</t>
        </is>
      </c>
      <c r="C32" s="17" t="n">
        <v>35000</v>
      </c>
      <c r="D32" s="18" t="inlineStr">
        <is>
          <t>✓</t>
        </is>
      </c>
    </row>
    <row r="33" ht="16" customHeight="1">
      <c r="A33" s="15" t="inlineStr">
        <is>
          <t>Samsung A23</t>
        </is>
      </c>
      <c r="B33" s="16" t="inlineStr">
        <is>
          <t>C/M (336)</t>
        </is>
      </c>
      <c r="C33" s="17" t="n">
        <v>16000</v>
      </c>
      <c r="D33" s="18" t="inlineStr">
        <is>
          <t>✓</t>
        </is>
      </c>
    </row>
    <row r="34" ht="16" customHeight="1">
      <c r="A34" s="15" t="inlineStr">
        <is>
          <t>Samsung A25</t>
        </is>
      </c>
      <c r="B34" s="16" t="inlineStr">
        <is>
          <t>C/M</t>
        </is>
      </c>
      <c r="C34" s="17" t="n">
        <v>42000</v>
      </c>
      <c r="D34" s="18" t="inlineStr">
        <is>
          <t>✓</t>
        </is>
      </c>
    </row>
    <row r="35" ht="16" customHeight="1">
      <c r="A35" s="15" t="inlineStr">
        <is>
          <t>Samsung A30/A50</t>
        </is>
      </c>
      <c r="B35" s="16" t="inlineStr">
        <is>
          <t>C/M</t>
        </is>
      </c>
      <c r="C35" s="17" t="n">
        <v>29000</v>
      </c>
      <c r="D35" s="18" t="inlineStr">
        <is>
          <t>✓</t>
        </is>
      </c>
    </row>
    <row r="36" ht="16" customHeight="1">
      <c r="A36" s="15" t="inlineStr">
        <is>
          <t>Samsung A30S</t>
        </is>
      </c>
      <c r="B36" s="16" t="inlineStr">
        <is>
          <t>C/M</t>
        </is>
      </c>
      <c r="C36" s="17" t="n">
        <v>30000</v>
      </c>
      <c r="D36" s="18" t="inlineStr">
        <is>
          <t>✓</t>
        </is>
      </c>
    </row>
    <row r="37" ht="16" customHeight="1">
      <c r="A37" s="15" t="inlineStr">
        <is>
          <t>Samsung A31 OLED</t>
        </is>
      </c>
      <c r="B37" s="16" t="inlineStr">
        <is>
          <t>C/M</t>
        </is>
      </c>
      <c r="C37" s="17" t="n">
        <v>27000</v>
      </c>
      <c r="D37" s="18" t="inlineStr">
        <is>
          <t>✓</t>
        </is>
      </c>
    </row>
    <row r="38" ht="16" customHeight="1">
      <c r="A38" s="15" t="inlineStr">
        <is>
          <t>Samsung A32 OLED 4G</t>
        </is>
      </c>
      <c r="B38" s="16" t="inlineStr">
        <is>
          <t>C/M</t>
        </is>
      </c>
      <c r="C38" s="17" t="n">
        <v>35000</v>
      </c>
      <c r="D38" s="18" t="inlineStr">
        <is>
          <t>✓</t>
        </is>
      </c>
    </row>
    <row r="39" ht="16" customHeight="1">
      <c r="A39" s="15" t="inlineStr">
        <is>
          <t>Samsung A33 OLED</t>
        </is>
      </c>
      <c r="B39" s="16" t="inlineStr">
        <is>
          <t>C/M</t>
        </is>
      </c>
      <c r="C39" s="17" t="n">
        <v>48000</v>
      </c>
      <c r="D39" s="18" t="inlineStr">
        <is>
          <t>✓</t>
        </is>
      </c>
    </row>
    <row r="40" ht="16" customHeight="1">
      <c r="A40" s="15" t="inlineStr">
        <is>
          <t>Samsung A52</t>
        </is>
      </c>
      <c r="B40" s="16" t="inlineStr">
        <is>
          <t>C/M</t>
        </is>
      </c>
      <c r="C40" s="17" t="n">
        <v>40000</v>
      </c>
      <c r="D40" s="18" t="inlineStr">
        <is>
          <t>✓</t>
        </is>
      </c>
    </row>
    <row r="41" ht="16" customHeight="1">
      <c r="A41" s="15" t="inlineStr">
        <is>
          <t>Samsung A53</t>
        </is>
      </c>
      <c r="B41" s="16" t="inlineStr">
        <is>
          <t>C/M</t>
        </is>
      </c>
      <c r="C41" s="17" t="n">
        <v>48000</v>
      </c>
      <c r="D41" s="18" t="inlineStr">
        <is>
          <t>✓</t>
        </is>
      </c>
    </row>
    <row r="42" ht="16" customHeight="1">
      <c r="A42" s="15" t="inlineStr">
        <is>
          <t>Samsung A54</t>
        </is>
      </c>
      <c r="B42" s="16" t="inlineStr">
        <is>
          <t>C/M</t>
        </is>
      </c>
      <c r="C42" s="17" t="n">
        <v>40000</v>
      </c>
      <c r="D42" s="18" t="inlineStr">
        <is>
          <t>✓</t>
        </is>
      </c>
    </row>
    <row r="43" ht="16" customHeight="1">
      <c r="A43" s="15" t="inlineStr">
        <is>
          <t>Samsung A55</t>
        </is>
      </c>
      <c r="B43" s="16" t="inlineStr">
        <is>
          <t>C/M gran pantalla</t>
        </is>
      </c>
      <c r="C43" s="17" t="n">
        <v>57000</v>
      </c>
      <c r="D43" s="18" t="inlineStr">
        <is>
          <t>✓</t>
        </is>
      </c>
    </row>
    <row r="44" ht="16" customHeight="1">
      <c r="A44" s="15" t="inlineStr">
        <is>
          <t>Samsung A72</t>
        </is>
      </c>
      <c r="B44" s="16" t="inlineStr">
        <is>
          <t>C/M</t>
        </is>
      </c>
      <c r="C44" s="17" t="n">
        <v>55000</v>
      </c>
      <c r="D44" s="18" t="inlineStr">
        <is>
          <t>✓</t>
        </is>
      </c>
    </row>
    <row r="45" ht="16" customHeight="1">
      <c r="A45" s="15" t="inlineStr">
        <is>
          <t>Samsung S20</t>
        </is>
      </c>
      <c r="B45" s="16" t="inlineStr">
        <is>
          <t>C/M</t>
        </is>
      </c>
      <c r="C45" s="17" t="n">
        <v>127000</v>
      </c>
      <c r="D45" s="18" t="inlineStr">
        <is>
          <t>✓</t>
        </is>
      </c>
    </row>
    <row r="46" ht="16" customHeight="1">
      <c r="A46" s="15" t="inlineStr">
        <is>
          <t>Samsung J2 Core</t>
        </is>
      </c>
      <c r="B46" s="16" t="inlineStr">
        <is>
          <t>S/M</t>
        </is>
      </c>
      <c r="C46" s="17" t="n">
        <v>7000</v>
      </c>
      <c r="D46" s="18" t="inlineStr">
        <is>
          <t>✓</t>
        </is>
      </c>
    </row>
    <row r="47" ht="16" customHeight="1">
      <c r="A47" s="15" t="inlineStr">
        <is>
          <t>Samsung J4+/J6+/J4 Core</t>
        </is>
      </c>
      <c r="B47" s="16" t="inlineStr">
        <is>
          <t>S/M</t>
        </is>
      </c>
      <c r="C47" s="17" t="n">
        <v>8000</v>
      </c>
      <c r="D47" s="18" t="inlineStr">
        <is>
          <t>✓</t>
        </is>
      </c>
    </row>
    <row r="48" ht="16" customHeight="1">
      <c r="A48" s="15" t="inlineStr">
        <is>
          <t>Samsung J4+/J6+/J4 Core</t>
        </is>
      </c>
      <c r="B48" s="16" t="inlineStr">
        <is>
          <t>S/M Premium</t>
        </is>
      </c>
      <c r="C48" s="17" t="n">
        <v>15000</v>
      </c>
      <c r="D48" s="18" t="inlineStr">
        <is>
          <t>✓</t>
        </is>
      </c>
    </row>
    <row r="49" ht="16" customHeight="1">
      <c r="A49" s="15" t="inlineStr">
        <is>
          <t>Samsung J5 Prime</t>
        </is>
      </c>
      <c r="B49" s="16" t="inlineStr">
        <is>
          <t>S/M</t>
        </is>
      </c>
      <c r="C49" s="17" t="n">
        <v>9000</v>
      </c>
      <c r="D49" s="18" t="inlineStr">
        <is>
          <t>✓</t>
        </is>
      </c>
    </row>
    <row r="50" ht="16" customHeight="1">
      <c r="A50" s="15" t="inlineStr">
        <is>
          <t>Samsung J7 Pro</t>
        </is>
      </c>
      <c r="B50" s="16" t="inlineStr">
        <is>
          <t>S/M</t>
        </is>
      </c>
      <c r="C50" s="17" t="n">
        <v>22000</v>
      </c>
      <c r="D50" s="18" t="inlineStr">
        <is>
          <t>✓</t>
        </is>
      </c>
    </row>
    <row r="51" ht="16" customHeight="1">
      <c r="A51" s="15" t="inlineStr">
        <is>
          <t>Samsung J7 Prime</t>
        </is>
      </c>
      <c r="B51" s="16" t="inlineStr">
        <is>
          <t>S/M</t>
        </is>
      </c>
      <c r="C51" s="17" t="n">
        <v>8000</v>
      </c>
      <c r="D51" s="18" t="inlineStr">
        <is>
          <t>✓</t>
        </is>
      </c>
    </row>
    <row r="52" ht="16" customHeight="1">
      <c r="A52" s="15" t="inlineStr">
        <is>
          <t>Samsung A01 M</t>
        </is>
      </c>
      <c r="B52" s="16" t="inlineStr">
        <is>
          <t>S/M</t>
        </is>
      </c>
      <c r="C52" s="17" t="n">
        <v>10000</v>
      </c>
      <c r="D52" s="18" t="inlineStr">
        <is>
          <t>✓</t>
        </is>
      </c>
    </row>
    <row r="53" ht="16" customHeight="1">
      <c r="A53" s="15" t="inlineStr">
        <is>
          <t>Samsung A01 Core</t>
        </is>
      </c>
      <c r="B53" s="16" t="inlineStr">
        <is>
          <t>S/M OLED</t>
        </is>
      </c>
      <c r="C53" s="17" t="n">
        <v>8000</v>
      </c>
      <c r="D53" s="18" t="inlineStr">
        <is>
          <t>✓</t>
        </is>
      </c>
    </row>
    <row r="54" ht="16" customHeight="1">
      <c r="A54" s="15" t="inlineStr">
        <is>
          <t>Samsung A03/A03S/A02S/A04E</t>
        </is>
      </c>
      <c r="B54" s="16" t="inlineStr">
        <is>
          <t>S/M</t>
        </is>
      </c>
      <c r="C54" s="17" t="n">
        <v>11000</v>
      </c>
      <c r="D54" s="18" t="inlineStr">
        <is>
          <t>✓</t>
        </is>
      </c>
    </row>
    <row r="55" ht="16" customHeight="1">
      <c r="A55" s="15" t="inlineStr">
        <is>
          <t>Samsung A03 Core</t>
        </is>
      </c>
      <c r="B55" s="16" t="inlineStr">
        <is>
          <t>S/M</t>
        </is>
      </c>
      <c r="C55" s="17" t="n">
        <v>10000</v>
      </c>
      <c r="D55" s="18" t="inlineStr">
        <is>
          <t>✓</t>
        </is>
      </c>
    </row>
    <row r="56" ht="16" customHeight="1">
      <c r="A56" s="15" t="inlineStr">
        <is>
          <t>Samsung A04</t>
        </is>
      </c>
      <c r="B56" s="16" t="inlineStr">
        <is>
          <t>S/M</t>
        </is>
      </c>
      <c r="C56" s="17" t="n">
        <v>11000</v>
      </c>
      <c r="D56" s="18" t="inlineStr">
        <is>
          <t>✓</t>
        </is>
      </c>
    </row>
    <row r="57" ht="16" customHeight="1">
      <c r="A57" s="15" t="inlineStr">
        <is>
          <t>Samsung A04S</t>
        </is>
      </c>
      <c r="B57" s="16" t="inlineStr">
        <is>
          <t>S/M</t>
        </is>
      </c>
      <c r="C57" s="17" t="n">
        <v>11000</v>
      </c>
      <c r="D57" s="18" t="inlineStr">
        <is>
          <t>✓</t>
        </is>
      </c>
    </row>
    <row r="58" ht="16" customHeight="1">
      <c r="A58" s="15" t="inlineStr">
        <is>
          <t>Samsung A05</t>
        </is>
      </c>
      <c r="B58" s="16" t="inlineStr">
        <is>
          <t>S/M</t>
        </is>
      </c>
      <c r="C58" s="17" t="n">
        <v>10000</v>
      </c>
      <c r="D58" s="18" t="inlineStr">
        <is>
          <t>✓</t>
        </is>
      </c>
    </row>
    <row r="59" ht="16" customHeight="1">
      <c r="A59" s="15" t="inlineStr">
        <is>
          <t>Samsung A06</t>
        </is>
      </c>
      <c r="B59" s="16" t="inlineStr">
        <is>
          <t>S/M</t>
        </is>
      </c>
      <c r="C59" s="17" t="n">
        <v>13000</v>
      </c>
      <c r="D59" s="18" t="inlineStr">
        <is>
          <t>✓</t>
        </is>
      </c>
    </row>
    <row r="60" ht="16" customHeight="1">
      <c r="A60" s="15" t="inlineStr">
        <is>
          <t>Samsung A10</t>
        </is>
      </c>
      <c r="B60" s="16" t="inlineStr">
        <is>
          <t>S/M</t>
        </is>
      </c>
      <c r="C60" s="17" t="n">
        <v>10000</v>
      </c>
      <c r="D60" s="18" t="inlineStr">
        <is>
          <t>✓</t>
        </is>
      </c>
    </row>
    <row r="61" ht="16" customHeight="1">
      <c r="A61" s="15" t="inlineStr">
        <is>
          <t>Samsung A10S</t>
        </is>
      </c>
      <c r="B61" s="16" t="inlineStr">
        <is>
          <t>S/M</t>
        </is>
      </c>
      <c r="C61" s="17" t="n">
        <v>10000</v>
      </c>
      <c r="D61" s="18" t="inlineStr">
        <is>
          <t>✓</t>
        </is>
      </c>
    </row>
    <row r="62" ht="16" customHeight="1">
      <c r="A62" s="15" t="inlineStr">
        <is>
          <t>Samsung A11</t>
        </is>
      </c>
      <c r="B62" s="16" t="inlineStr">
        <is>
          <t>S/M</t>
        </is>
      </c>
      <c r="C62" s="17" t="n">
        <v>11000</v>
      </c>
      <c r="D62" s="18" t="inlineStr">
        <is>
          <t>✓</t>
        </is>
      </c>
    </row>
    <row r="63" ht="16" customHeight="1">
      <c r="A63" s="15" t="inlineStr">
        <is>
          <t>Samsung A12 Universal</t>
        </is>
      </c>
      <c r="B63" s="16" t="inlineStr">
        <is>
          <t>S/M</t>
        </is>
      </c>
      <c r="C63" s="17" t="n">
        <v>11000</v>
      </c>
      <c r="D63" s="18" t="inlineStr">
        <is>
          <t>✓</t>
        </is>
      </c>
    </row>
    <row r="64" ht="16" customHeight="1">
      <c r="A64" s="15" t="inlineStr">
        <is>
          <t>Samsung A13 Universal</t>
        </is>
      </c>
      <c r="B64" s="16" t="inlineStr">
        <is>
          <t>S/M</t>
        </is>
      </c>
      <c r="C64" s="17" t="n">
        <v>14000</v>
      </c>
      <c r="D64" s="18" t="inlineStr">
        <is>
          <t>✓</t>
        </is>
      </c>
    </row>
    <row r="65" ht="16" customHeight="1">
      <c r="A65" s="15" t="inlineStr">
        <is>
          <t>Samsung A14 5G</t>
        </is>
      </c>
      <c r="B65" s="16" t="inlineStr">
        <is>
          <t>S/M</t>
        </is>
      </c>
      <c r="C65" s="17" t="n">
        <v>13000</v>
      </c>
      <c r="D65" s="18" t="inlineStr">
        <is>
          <t>✓</t>
        </is>
      </c>
    </row>
    <row r="66" ht="16" customHeight="1">
      <c r="A66" s="15" t="inlineStr">
        <is>
          <t>Samsung A15</t>
        </is>
      </c>
      <c r="B66" s="16" t="inlineStr">
        <is>
          <t>S/M</t>
        </is>
      </c>
      <c r="C66" s="17" t="n">
        <v>41000</v>
      </c>
      <c r="D66" s="18" t="inlineStr">
        <is>
          <t>✓</t>
        </is>
      </c>
    </row>
    <row r="67" ht="16" customHeight="1">
      <c r="A67" s="15" t="inlineStr">
        <is>
          <t>Samsung A20S</t>
        </is>
      </c>
      <c r="B67" s="16" t="inlineStr">
        <is>
          <t>S/M</t>
        </is>
      </c>
      <c r="C67" s="17" t="n">
        <v>10000</v>
      </c>
      <c r="D67" s="18" t="inlineStr">
        <is>
          <t>✓</t>
        </is>
      </c>
    </row>
    <row r="68" ht="16" customHeight="1">
      <c r="A68" s="15" t="inlineStr">
        <is>
          <t>Samsung A21S</t>
        </is>
      </c>
      <c r="B68" s="16" t="inlineStr">
        <is>
          <t>S/M</t>
        </is>
      </c>
      <c r="C68" s="17" t="n">
        <v>11000</v>
      </c>
      <c r="D68" s="18" t="inlineStr">
        <is>
          <t>✓</t>
        </is>
      </c>
    </row>
    <row r="69" ht="16" customHeight="1">
      <c r="A69" s="15" t="inlineStr">
        <is>
          <t>Samsung A22 5G</t>
        </is>
      </c>
      <c r="B69" s="16" t="inlineStr">
        <is>
          <t>S/M</t>
        </is>
      </c>
      <c r="C69" s="17" t="n">
        <v>13000</v>
      </c>
      <c r="D69" s="18" t="inlineStr">
        <is>
          <t>✓</t>
        </is>
      </c>
    </row>
    <row r="70" ht="16" customHeight="1">
      <c r="A70" s="15" t="inlineStr">
        <is>
          <t>Samsung A22 4G</t>
        </is>
      </c>
      <c r="B70" s="16" t="inlineStr">
        <is>
          <t>S/M</t>
        </is>
      </c>
      <c r="C70" s="17" t="n">
        <v>32000</v>
      </c>
      <c r="D70" s="18" t="inlineStr">
        <is>
          <t>✓</t>
        </is>
      </c>
    </row>
    <row r="71" ht="16" customHeight="1">
      <c r="A71" s="14" t="inlineStr">
        <is>
          <t>▶ MOTO</t>
        </is>
      </c>
    </row>
    <row r="72" ht="16" customHeight="1">
      <c r="A72" s="23" t="inlineStr">
        <is>
          <t>Moto E6 Play</t>
        </is>
      </c>
      <c r="B72" s="24" t="inlineStr">
        <is>
          <t>BOLSA ROJA</t>
        </is>
      </c>
      <c r="C72" s="25" t="n">
        <v>10000</v>
      </c>
      <c r="D72" s="26" t="inlineStr">
        <is>
          <t>✓</t>
        </is>
      </c>
    </row>
    <row r="73" ht="16" customHeight="1">
      <c r="A73" s="23" t="inlineStr">
        <is>
          <t>Moto E6S</t>
        </is>
      </c>
      <c r="B73" s="24" t="inlineStr">
        <is>
          <t>BOLSA ROJA</t>
        </is>
      </c>
      <c r="C73" s="25" t="n">
        <v>13500</v>
      </c>
      <c r="D73" s="26" t="inlineStr">
        <is>
          <t>✓</t>
        </is>
      </c>
    </row>
    <row r="74" ht="16" customHeight="1">
      <c r="A74" s="23" t="inlineStr">
        <is>
          <t>Moto E7</t>
        </is>
      </c>
      <c r="B74" s="24" t="inlineStr">
        <is>
          <t>BOLSA ROJA</t>
        </is>
      </c>
      <c r="C74" s="25" t="n">
        <v>17500</v>
      </c>
      <c r="D74" s="26" t="inlineStr">
        <is>
          <t>✓</t>
        </is>
      </c>
    </row>
    <row r="75" ht="16" customHeight="1">
      <c r="A75" s="23" t="inlineStr">
        <is>
          <t>Moto E7 i Power</t>
        </is>
      </c>
      <c r="B75" s="24" t="inlineStr">
        <is>
          <t>BOLSA ROJA</t>
        </is>
      </c>
      <c r="C75" s="25" t="n">
        <v>23000</v>
      </c>
      <c r="D75" s="26" t="inlineStr">
        <is>
          <t>✓</t>
        </is>
      </c>
    </row>
    <row r="76" ht="16" customHeight="1">
      <c r="A76" s="23" t="inlineStr">
        <is>
          <t>Moto E13</t>
        </is>
      </c>
      <c r="B76" s="24" t="inlineStr">
        <is>
          <t>orig wez</t>
        </is>
      </c>
      <c r="C76" s="25" t="n">
        <v>22500</v>
      </c>
      <c r="D76" s="26" t="inlineStr">
        <is>
          <t>✓</t>
        </is>
      </c>
    </row>
    <row r="77" ht="16" customHeight="1">
      <c r="A77" s="23" t="inlineStr">
        <is>
          <t>Moto E13</t>
        </is>
      </c>
      <c r="B77" s="24" t="inlineStr">
        <is>
          <t>ORIGINAL</t>
        </is>
      </c>
      <c r="C77" s="25" t="n">
        <v>19500</v>
      </c>
      <c r="D77" s="26" t="inlineStr">
        <is>
          <t>✓</t>
        </is>
      </c>
    </row>
    <row r="78" ht="16" customHeight="1">
      <c r="A78" s="23" t="inlineStr">
        <is>
          <t>Moto E20</t>
        </is>
      </c>
      <c r="B78" s="24" t="inlineStr">
        <is>
          <t>BOLSA ROJA</t>
        </is>
      </c>
      <c r="C78" s="25" t="n">
        <v>18500</v>
      </c>
      <c r="D78" s="26" t="inlineStr">
        <is>
          <t>✓</t>
        </is>
      </c>
    </row>
    <row r="79" ht="16" customHeight="1">
      <c r="A79" s="23" t="inlineStr">
        <is>
          <t>Moto E32</t>
        </is>
      </c>
      <c r="B79" s="24" t="inlineStr">
        <is>
          <t>BOLSA ROJA</t>
        </is>
      </c>
      <c r="C79" s="25" t="n">
        <v>18500</v>
      </c>
      <c r="D79" s="26" t="inlineStr">
        <is>
          <t>✓</t>
        </is>
      </c>
    </row>
    <row r="80" ht="16" customHeight="1">
      <c r="A80" s="23" t="inlineStr">
        <is>
          <t>Moto E40</t>
        </is>
      </c>
      <c r="B80" s="24" t="inlineStr">
        <is>
          <t>BOLSA ROJA</t>
        </is>
      </c>
      <c r="C80" s="25" t="n">
        <v>18500</v>
      </c>
      <c r="D80" s="26" t="inlineStr">
        <is>
          <t>✓</t>
        </is>
      </c>
    </row>
    <row r="81" ht="16" customHeight="1">
      <c r="A81" s="23" t="inlineStr">
        <is>
          <t>Moto G8 Power Lite</t>
        </is>
      </c>
      <c r="B81" s="24" t="inlineStr">
        <is>
          <t>BOLSA ROJA</t>
        </is>
      </c>
      <c r="C81" s="25" t="n">
        <v>12500</v>
      </c>
      <c r="D81" s="26" t="inlineStr">
        <is>
          <t>✓</t>
        </is>
      </c>
    </row>
    <row r="82" ht="16" customHeight="1">
      <c r="A82" s="23" t="inlineStr">
        <is>
          <t>Moto G9 Power</t>
        </is>
      </c>
      <c r="B82" s="24" t="inlineStr">
        <is>
          <t>BOLSA ROJA</t>
        </is>
      </c>
      <c r="C82" s="25" t="n">
        <v>20000</v>
      </c>
      <c r="D82" s="26" t="inlineStr">
        <is>
          <t>✓</t>
        </is>
      </c>
    </row>
    <row r="83" ht="16" customHeight="1">
      <c r="A83" s="23" t="inlineStr">
        <is>
          <t>Moto G22</t>
        </is>
      </c>
      <c r="B83" s="24" t="inlineStr">
        <is>
          <t>BOLSA ROJA</t>
        </is>
      </c>
      <c r="C83" s="25" t="n">
        <v>18500</v>
      </c>
      <c r="D83" s="26" t="inlineStr">
        <is>
          <t>✓</t>
        </is>
      </c>
    </row>
    <row r="84" ht="16" customHeight="1">
      <c r="A84" s="23" t="inlineStr">
        <is>
          <t>Moto G31</t>
        </is>
      </c>
      <c r="B84" s="24" t="inlineStr">
        <is>
          <t>BOLSA ROJA</t>
        </is>
      </c>
      <c r="C84" s="25" t="n">
        <v>55000</v>
      </c>
      <c r="D84" s="26" t="inlineStr">
        <is>
          <t>✓</t>
        </is>
      </c>
    </row>
    <row r="85" ht="16" customHeight="1">
      <c r="A85" s="23" t="inlineStr">
        <is>
          <t>Moto G42</t>
        </is>
      </c>
      <c r="B85" s="24" t="inlineStr">
        <is>
          <t>BOLSA ROJA</t>
        </is>
      </c>
      <c r="C85" s="25" t="n">
        <v>55000</v>
      </c>
      <c r="D85" s="26" t="inlineStr">
        <is>
          <t>✓</t>
        </is>
      </c>
    </row>
    <row r="86" ht="16" customHeight="1">
      <c r="A86" s="23" t="inlineStr">
        <is>
          <t>Moto G51 orig WEZ</t>
        </is>
      </c>
      <c r="B86" s="24" t="inlineStr"/>
      <c r="C86" s="25" t="n">
        <v>50000</v>
      </c>
      <c r="D86" s="26" t="inlineStr">
        <is>
          <t>✓</t>
        </is>
      </c>
    </row>
    <row r="87" ht="16" customHeight="1">
      <c r="A87" s="23" t="inlineStr">
        <is>
          <t>Moto One Fusion</t>
        </is>
      </c>
      <c r="B87" s="24" t="inlineStr">
        <is>
          <t>BOLSA ROJA</t>
        </is>
      </c>
      <c r="C87" s="25" t="n">
        <v>18500</v>
      </c>
      <c r="D87" s="26" t="inlineStr">
        <is>
          <t>✓</t>
        </is>
      </c>
    </row>
    <row r="88" ht="16" customHeight="1">
      <c r="A88" s="23" t="inlineStr">
        <is>
          <t>Moto Edge 30 Ultra</t>
        </is>
      </c>
      <c r="B88" s="24" t="inlineStr">
        <is>
          <t>ORIG</t>
        </is>
      </c>
      <c r="C88" s="25" t="n">
        <v>135000</v>
      </c>
      <c r="D88" s="26" t="inlineStr">
        <is>
          <t>✓</t>
        </is>
      </c>
    </row>
    <row r="89" ht="16" customHeight="1">
      <c r="A89" s="23" t="inlineStr">
        <is>
          <t>Moto E6I</t>
        </is>
      </c>
      <c r="B89" s="24" t="inlineStr">
        <is>
          <t>C/M</t>
        </is>
      </c>
      <c r="C89" s="25" t="n">
        <v>11000</v>
      </c>
      <c r="D89" s="26" t="inlineStr">
        <is>
          <t>✓</t>
        </is>
      </c>
    </row>
    <row r="90" ht="16" customHeight="1">
      <c r="A90" s="23" t="inlineStr">
        <is>
          <t>Moto E6S ORIG</t>
        </is>
      </c>
      <c r="B90" s="24" t="inlineStr">
        <is>
          <t>BOLSA ROJA</t>
        </is>
      </c>
      <c r="C90" s="25" t="n">
        <v>12000</v>
      </c>
      <c r="D90" s="26" t="inlineStr">
        <is>
          <t>✓</t>
        </is>
      </c>
    </row>
    <row r="91" ht="16" customHeight="1">
      <c r="A91" s="23" t="inlineStr">
        <is>
          <t>Moto E6 Play OLED</t>
        </is>
      </c>
      <c r="B91" s="24" t="inlineStr">
        <is>
          <t>C/M</t>
        </is>
      </c>
      <c r="C91" s="25" t="n">
        <v>8000</v>
      </c>
      <c r="D91" s="26" t="inlineStr">
        <is>
          <t>✓</t>
        </is>
      </c>
    </row>
    <row r="92" ht="16" customHeight="1">
      <c r="A92" s="23" t="inlineStr">
        <is>
          <t>Moto E20</t>
        </is>
      </c>
      <c r="B92" s="24" t="inlineStr">
        <is>
          <t>C/M</t>
        </is>
      </c>
      <c r="C92" s="25" t="n">
        <v>14000</v>
      </c>
      <c r="D92" s="26" t="inlineStr">
        <is>
          <t>✓</t>
        </is>
      </c>
    </row>
    <row r="93" ht="16" customHeight="1">
      <c r="A93" s="23" t="inlineStr">
        <is>
          <t>Moto E13 OLED</t>
        </is>
      </c>
      <c r="B93" s="24" t="inlineStr">
        <is>
          <t>C/M</t>
        </is>
      </c>
      <c r="C93" s="25" t="n">
        <v>15000</v>
      </c>
      <c r="D93" s="26" t="inlineStr">
        <is>
          <t>✓</t>
        </is>
      </c>
    </row>
    <row r="94" ht="16" customHeight="1">
      <c r="A94" s="23" t="inlineStr">
        <is>
          <t>Moto E32 BOLSA ROJA</t>
        </is>
      </c>
      <c r="B94" s="24" t="inlineStr">
        <is>
          <t>C/M</t>
        </is>
      </c>
      <c r="C94" s="25" t="n">
        <v>18500</v>
      </c>
      <c r="D94" s="26" t="inlineStr">
        <is>
          <t>✓</t>
        </is>
      </c>
    </row>
    <row r="95" ht="16" customHeight="1">
      <c r="A95" s="23" t="inlineStr">
        <is>
          <t>Moto E40</t>
        </is>
      </c>
      <c r="B95" s="24" t="inlineStr">
        <is>
          <t>C/M</t>
        </is>
      </c>
      <c r="C95" s="25" t="n">
        <v>15000</v>
      </c>
      <c r="D95" s="26" t="inlineStr">
        <is>
          <t>✓</t>
        </is>
      </c>
    </row>
    <row r="96" ht="16" customHeight="1">
      <c r="A96" s="23" t="inlineStr">
        <is>
          <t>Moto E40 ORIG BOLSA ROJA</t>
        </is>
      </c>
      <c r="B96" s="24" t="inlineStr">
        <is>
          <t>C/M</t>
        </is>
      </c>
      <c r="C96" s="25" t="n">
        <v>18500</v>
      </c>
      <c r="D96" s="26" t="inlineStr">
        <is>
          <t>✓</t>
        </is>
      </c>
    </row>
    <row r="97" ht="16" customHeight="1">
      <c r="A97" s="23" t="inlineStr">
        <is>
          <t>Moto G04/G04S/E14</t>
        </is>
      </c>
      <c r="B97" s="24" t="inlineStr">
        <is>
          <t>PREMIUM C/M</t>
        </is>
      </c>
      <c r="C97" s="25" t="n">
        <v>20000</v>
      </c>
      <c r="D97" s="26" t="inlineStr">
        <is>
          <t>✓</t>
        </is>
      </c>
    </row>
    <row r="98" ht="16" customHeight="1">
      <c r="A98" s="23" t="inlineStr">
        <is>
          <t>Moto G9 Plus</t>
        </is>
      </c>
      <c r="B98" s="24" t="inlineStr">
        <is>
          <t>C/M</t>
        </is>
      </c>
      <c r="C98" s="25" t="n">
        <v>15000</v>
      </c>
      <c r="D98" s="26" t="inlineStr">
        <is>
          <t>✓</t>
        </is>
      </c>
    </row>
    <row r="99" ht="16" customHeight="1">
      <c r="A99" s="23" t="inlineStr">
        <is>
          <t>Moto G9 Power</t>
        </is>
      </c>
      <c r="B99" s="24" t="inlineStr">
        <is>
          <t>C/M</t>
        </is>
      </c>
      <c r="C99" s="25" t="n">
        <v>15000</v>
      </c>
      <c r="D99" s="26" t="inlineStr">
        <is>
          <t>✓</t>
        </is>
      </c>
    </row>
    <row r="100" ht="16" customHeight="1">
      <c r="A100" s="23" t="inlineStr">
        <is>
          <t>Moto G14 OLED</t>
        </is>
      </c>
      <c r="B100" s="24" t="inlineStr">
        <is>
          <t>C/M</t>
        </is>
      </c>
      <c r="C100" s="25" t="n">
        <v>18000</v>
      </c>
      <c r="D100" s="26" t="inlineStr">
        <is>
          <t>✓</t>
        </is>
      </c>
    </row>
    <row r="101" ht="16" customHeight="1">
      <c r="A101" s="23" t="inlineStr">
        <is>
          <t>Moto G15 OLED</t>
        </is>
      </c>
      <c r="B101" s="24" t="inlineStr">
        <is>
          <t>C/M</t>
        </is>
      </c>
      <c r="C101" s="25" t="n">
        <v>17000</v>
      </c>
      <c r="D101" s="26" t="inlineStr">
        <is>
          <t>✓</t>
        </is>
      </c>
    </row>
    <row r="102" ht="16" customHeight="1">
      <c r="A102" s="23" t="inlineStr">
        <is>
          <t>Moto G31 OLED</t>
        </is>
      </c>
      <c r="B102" s="24" t="inlineStr">
        <is>
          <t>C/M</t>
        </is>
      </c>
      <c r="C102" s="25" t="n">
        <v>40000</v>
      </c>
      <c r="D102" s="26" t="inlineStr">
        <is>
          <t>✓</t>
        </is>
      </c>
    </row>
    <row r="103" ht="16" customHeight="1">
      <c r="A103" s="23" t="inlineStr">
        <is>
          <t>Moto G32</t>
        </is>
      </c>
      <c r="B103" s="24" t="inlineStr">
        <is>
          <t>PREMIUM C/M</t>
        </is>
      </c>
      <c r="C103" s="25" t="n">
        <v>22000</v>
      </c>
      <c r="D103" s="26" t="inlineStr">
        <is>
          <t>✓</t>
        </is>
      </c>
    </row>
    <row r="104" ht="16" customHeight="1">
      <c r="A104" s="23" t="inlineStr">
        <is>
          <t>Moto G35 OLED</t>
        </is>
      </c>
      <c r="B104" s="24" t="inlineStr">
        <is>
          <t>C/M</t>
        </is>
      </c>
      <c r="C104" s="25" t="n">
        <v>18000</v>
      </c>
      <c r="D104" s="26" t="inlineStr">
        <is>
          <t>✓</t>
        </is>
      </c>
    </row>
    <row r="105" ht="16" customHeight="1">
      <c r="A105" s="23" t="inlineStr">
        <is>
          <t>Moto G41 OLED</t>
        </is>
      </c>
      <c r="B105" s="24" t="inlineStr">
        <is>
          <t>C/M</t>
        </is>
      </c>
      <c r="C105" s="25" t="n">
        <v>40000</v>
      </c>
      <c r="D105" s="26" t="inlineStr">
        <is>
          <t>✓</t>
        </is>
      </c>
    </row>
    <row r="106" ht="16" customHeight="1">
      <c r="A106" s="23" t="inlineStr">
        <is>
          <t>Moto G54</t>
        </is>
      </c>
      <c r="B106" s="24" t="inlineStr">
        <is>
          <t>C/M</t>
        </is>
      </c>
      <c r="C106" s="25" t="n">
        <v>25000</v>
      </c>
      <c r="D106" s="26" t="inlineStr">
        <is>
          <t>✓</t>
        </is>
      </c>
    </row>
    <row r="107" ht="16" customHeight="1">
      <c r="A107" s="23" t="inlineStr">
        <is>
          <t>Moto G72</t>
        </is>
      </c>
      <c r="B107" s="24" t="inlineStr">
        <is>
          <t>C/M</t>
        </is>
      </c>
      <c r="C107" s="25" t="n">
        <v>40000</v>
      </c>
      <c r="D107" s="26" t="inlineStr">
        <is>
          <t>✓</t>
        </is>
      </c>
    </row>
    <row r="108" ht="16" customHeight="1">
      <c r="A108" s="23" t="inlineStr">
        <is>
          <t>Moto G75</t>
        </is>
      </c>
      <c r="B108" s="24" t="inlineStr">
        <is>
          <t>C/M</t>
        </is>
      </c>
      <c r="C108" s="25" t="n">
        <v>25000</v>
      </c>
      <c r="D108" s="26" t="inlineStr">
        <is>
          <t>✓</t>
        </is>
      </c>
    </row>
    <row r="109" ht="16" customHeight="1">
      <c r="A109" s="23" t="inlineStr">
        <is>
          <t>Moto E6I/E6S</t>
        </is>
      </c>
      <c r="B109" s="24" t="inlineStr">
        <is>
          <t>S/M</t>
        </is>
      </c>
      <c r="C109" s="25" t="n">
        <v>12000</v>
      </c>
      <c r="D109" s="26" t="inlineStr">
        <is>
          <t>✓</t>
        </is>
      </c>
    </row>
    <row r="110" ht="16" customHeight="1">
      <c r="A110" s="23" t="inlineStr">
        <is>
          <t>Moto E6I/E6S</t>
        </is>
      </c>
      <c r="B110" s="24" t="inlineStr">
        <is>
          <t>S/M Premium</t>
        </is>
      </c>
      <c r="C110" s="25" t="n">
        <v>15000</v>
      </c>
      <c r="D110" s="26" t="inlineStr">
        <is>
          <t>✓</t>
        </is>
      </c>
    </row>
    <row r="111" ht="16" customHeight="1">
      <c r="A111" s="23" t="inlineStr">
        <is>
          <t>Moto E7/E7i Power</t>
        </is>
      </c>
      <c r="B111" s="24" t="inlineStr">
        <is>
          <t>S/M</t>
        </is>
      </c>
      <c r="C111" s="25" t="n">
        <v>12000</v>
      </c>
      <c r="D111" s="26" t="inlineStr">
        <is>
          <t>✓</t>
        </is>
      </c>
    </row>
    <row r="112" ht="16" customHeight="1">
      <c r="A112" s="23" t="inlineStr">
        <is>
          <t>Moto E7/E7i Power</t>
        </is>
      </c>
      <c r="B112" s="24" t="inlineStr">
        <is>
          <t>S/M Premium</t>
        </is>
      </c>
      <c r="C112" s="25" t="n">
        <v>15000</v>
      </c>
      <c r="D112" s="26" t="inlineStr">
        <is>
          <t>✓</t>
        </is>
      </c>
    </row>
    <row r="113" ht="16" customHeight="1">
      <c r="A113" s="23" t="inlineStr">
        <is>
          <t>Moto E7 Plus/G9 Play</t>
        </is>
      </c>
      <c r="B113" s="24" t="inlineStr">
        <is>
          <t>S/M</t>
        </is>
      </c>
      <c r="C113" s="25" t="n">
        <v>12000</v>
      </c>
      <c r="D113" s="26" t="inlineStr">
        <is>
          <t>✓</t>
        </is>
      </c>
    </row>
    <row r="114" ht="16" customHeight="1">
      <c r="A114" s="23" t="inlineStr">
        <is>
          <t>Moto E13</t>
        </is>
      </c>
      <c r="B114" s="24" t="inlineStr">
        <is>
          <t>S/M</t>
        </is>
      </c>
      <c r="C114" s="25" t="n">
        <v>12000</v>
      </c>
      <c r="D114" s="26" t="inlineStr">
        <is>
          <t>✓</t>
        </is>
      </c>
    </row>
    <row r="115" ht="16" customHeight="1">
      <c r="A115" s="23" t="inlineStr">
        <is>
          <t>Moto E20</t>
        </is>
      </c>
      <c r="B115" s="24" t="inlineStr">
        <is>
          <t>S/M</t>
        </is>
      </c>
      <c r="C115" s="25" t="n">
        <v>13000</v>
      </c>
      <c r="D115" s="26" t="inlineStr">
        <is>
          <t>✓</t>
        </is>
      </c>
    </row>
    <row r="116" ht="16" customHeight="1">
      <c r="A116" s="23" t="inlineStr">
        <is>
          <t>Moto E40</t>
        </is>
      </c>
      <c r="B116" s="24" t="inlineStr">
        <is>
          <t>S/M</t>
        </is>
      </c>
      <c r="C116" s="25" t="n">
        <v>12000</v>
      </c>
      <c r="D116" s="26" t="inlineStr">
        <is>
          <t>✓</t>
        </is>
      </c>
    </row>
    <row r="117" ht="16" customHeight="1">
      <c r="A117" s="23" t="inlineStr">
        <is>
          <t>Moto G7/G7 Plus</t>
        </is>
      </c>
      <c r="B117" s="24" t="inlineStr">
        <is>
          <t>S/M</t>
        </is>
      </c>
      <c r="C117" s="25" t="n">
        <v>10000</v>
      </c>
      <c r="D117" s="26" t="inlineStr">
        <is>
          <t>✓</t>
        </is>
      </c>
    </row>
    <row r="118" ht="16" customHeight="1">
      <c r="A118" s="23" t="inlineStr">
        <is>
          <t>Moto G7 Play</t>
        </is>
      </c>
      <c r="B118" s="24" t="inlineStr">
        <is>
          <t>S/M</t>
        </is>
      </c>
      <c r="C118" s="25" t="n">
        <v>12000</v>
      </c>
      <c r="D118" s="26" t="inlineStr">
        <is>
          <t>✓</t>
        </is>
      </c>
    </row>
    <row r="119" ht="16" customHeight="1">
      <c r="A119" s="23" t="inlineStr">
        <is>
          <t>Moto G8</t>
        </is>
      </c>
      <c r="B119" s="24" t="inlineStr">
        <is>
          <t>S/M</t>
        </is>
      </c>
      <c r="C119" s="25" t="n">
        <v>11000</v>
      </c>
      <c r="D119" s="26" t="inlineStr">
        <is>
          <t>✓</t>
        </is>
      </c>
    </row>
    <row r="120" ht="16" customHeight="1">
      <c r="A120" s="23" t="inlineStr">
        <is>
          <t>Moto G8 Play/One Macro</t>
        </is>
      </c>
      <c r="B120" s="24" t="inlineStr">
        <is>
          <t>S/M</t>
        </is>
      </c>
      <c r="C120" s="25" t="n">
        <v>11000</v>
      </c>
      <c r="D120" s="26" t="inlineStr">
        <is>
          <t>✓</t>
        </is>
      </c>
    </row>
    <row r="121" ht="16" customHeight="1">
      <c r="A121" s="23" t="inlineStr">
        <is>
          <t>Moto G9 Plus</t>
        </is>
      </c>
      <c r="B121" s="24" t="inlineStr">
        <is>
          <t>S/M</t>
        </is>
      </c>
      <c r="C121" s="25" t="n">
        <v>15000</v>
      </c>
      <c r="D121" s="26" t="inlineStr">
        <is>
          <t>✓</t>
        </is>
      </c>
    </row>
    <row r="122" ht="16" customHeight="1">
      <c r="A122" s="23" t="inlineStr">
        <is>
          <t>Moto G13/G23</t>
        </is>
      </c>
      <c r="B122" s="24" t="inlineStr">
        <is>
          <t>S/M Premium</t>
        </is>
      </c>
      <c r="C122" s="25" t="n">
        <v>15000</v>
      </c>
      <c r="D122" s="26" t="inlineStr">
        <is>
          <t>✓</t>
        </is>
      </c>
    </row>
    <row r="123" ht="16" customHeight="1">
      <c r="A123" s="23" t="inlineStr">
        <is>
          <t>Moto G14/G54/G62 5G</t>
        </is>
      </c>
      <c r="B123" s="24" t="inlineStr">
        <is>
          <t>S/M</t>
        </is>
      </c>
      <c r="C123" s="25" t="n">
        <v>16000</v>
      </c>
      <c r="D123" s="26" t="inlineStr">
        <is>
          <t>✓</t>
        </is>
      </c>
    </row>
    <row r="124" ht="16" customHeight="1">
      <c r="A124" s="23" t="inlineStr">
        <is>
          <t>Moto G14/G54/G32</t>
        </is>
      </c>
      <c r="B124" s="24" t="inlineStr">
        <is>
          <t>S/M Premium</t>
        </is>
      </c>
      <c r="C124" s="25" t="n">
        <v>20000</v>
      </c>
      <c r="D124" s="26" t="inlineStr">
        <is>
          <t>✓</t>
        </is>
      </c>
    </row>
    <row r="125" ht="16" customHeight="1">
      <c r="A125" s="23" t="inlineStr">
        <is>
          <t>Moto G20/G30</t>
        </is>
      </c>
      <c r="B125" s="24" t="inlineStr">
        <is>
          <t>S/M</t>
        </is>
      </c>
      <c r="C125" s="25" t="n">
        <v>11000</v>
      </c>
      <c r="D125" s="26" t="inlineStr">
        <is>
          <t>✓</t>
        </is>
      </c>
    </row>
    <row r="126" ht="16" customHeight="1">
      <c r="A126" s="23" t="inlineStr">
        <is>
          <t>Moto G24/E14/G04/G04S</t>
        </is>
      </c>
      <c r="B126" s="24" t="inlineStr">
        <is>
          <t>S/M</t>
        </is>
      </c>
      <c r="C126" s="25" t="n">
        <v>13000</v>
      </c>
      <c r="D126" s="26" t="inlineStr">
        <is>
          <t>✓</t>
        </is>
      </c>
    </row>
    <row r="127" ht="16" customHeight="1">
      <c r="A127" s="23" t="inlineStr">
        <is>
          <t>Moto G31/G41/G71</t>
        </is>
      </c>
      <c r="B127" s="24" t="inlineStr">
        <is>
          <t>S/M P/Grande</t>
        </is>
      </c>
      <c r="C127" s="25" t="n">
        <v>38000</v>
      </c>
      <c r="D127" s="26" t="inlineStr">
        <is>
          <t>✓</t>
        </is>
      </c>
    </row>
    <row r="128" ht="16" customHeight="1">
      <c r="A128" s="23" t="inlineStr">
        <is>
          <t>Moto G32/G73</t>
        </is>
      </c>
      <c r="B128" s="24" t="inlineStr">
        <is>
          <t>S/M</t>
        </is>
      </c>
      <c r="C128" s="25" t="n">
        <v>14000</v>
      </c>
      <c r="D128" s="26" t="inlineStr">
        <is>
          <t>✓</t>
        </is>
      </c>
    </row>
    <row r="129" ht="16" customHeight="1">
      <c r="A129" s="23" t="inlineStr">
        <is>
          <t>Moto G35</t>
        </is>
      </c>
      <c r="B129" s="24" t="inlineStr">
        <is>
          <t>S/M</t>
        </is>
      </c>
      <c r="C129" s="25" t="n">
        <v>15000</v>
      </c>
      <c r="D129" s="26" t="inlineStr">
        <is>
          <t>✓</t>
        </is>
      </c>
    </row>
    <row r="130" ht="16" customHeight="1">
      <c r="A130" s="23" t="inlineStr">
        <is>
          <t>Moto G200</t>
        </is>
      </c>
      <c r="B130" s="24" t="inlineStr">
        <is>
          <t>S/M</t>
        </is>
      </c>
      <c r="C130" s="25" t="n">
        <v>22000</v>
      </c>
      <c r="D130" s="26" t="inlineStr">
        <is>
          <t>✓</t>
        </is>
      </c>
    </row>
    <row r="131" ht="16" customHeight="1">
      <c r="A131" s="23" t="inlineStr">
        <is>
          <t>Moto One Hyper</t>
        </is>
      </c>
      <c r="B131" s="24" t="inlineStr">
        <is>
          <t>S/M</t>
        </is>
      </c>
      <c r="C131" s="25" t="n">
        <v>10000</v>
      </c>
      <c r="D131" s="26" t="inlineStr">
        <is>
          <t>✓</t>
        </is>
      </c>
    </row>
    <row r="132" ht="16" customHeight="1">
      <c r="A132" s="23" t="inlineStr">
        <is>
          <t>Moto Z2 Play</t>
        </is>
      </c>
      <c r="B132" s="24" t="inlineStr">
        <is>
          <t>S/M</t>
        </is>
      </c>
      <c r="C132" s="25" t="n">
        <v>24000</v>
      </c>
      <c r="D132" s="26" t="inlineStr">
        <is>
          <t>✓</t>
        </is>
      </c>
    </row>
    <row r="133" ht="16" customHeight="1">
      <c r="A133" s="23" t="inlineStr">
        <is>
          <t>Moto Edge 20 Lite OLED</t>
        </is>
      </c>
      <c r="B133" s="24" t="inlineStr">
        <is>
          <t>S/M</t>
        </is>
      </c>
      <c r="C133" s="25" t="n">
        <v>37000</v>
      </c>
      <c r="D133" s="26" t="inlineStr">
        <is>
          <t>✓</t>
        </is>
      </c>
    </row>
    <row r="134" ht="16" customHeight="1">
      <c r="A134" s="23" t="inlineStr">
        <is>
          <t>Moto Edge 30 Fusion OLED</t>
        </is>
      </c>
      <c r="B134" s="24" t="inlineStr">
        <is>
          <t>S/M</t>
        </is>
      </c>
      <c r="C134" s="25" t="n">
        <v>76000</v>
      </c>
      <c r="D134" s="26" t="inlineStr">
        <is>
          <t>✓</t>
        </is>
      </c>
    </row>
    <row r="135" ht="16" customHeight="1">
      <c r="A135" s="14" t="inlineStr">
        <is>
          <t>▶ IPHONE</t>
        </is>
      </c>
    </row>
    <row r="136" ht="16" customHeight="1">
      <c r="A136" s="27" t="inlineStr">
        <is>
          <t>iPhone 6G</t>
        </is>
      </c>
      <c r="B136" s="28" t="inlineStr"/>
      <c r="C136" s="29" t="n">
        <v>9500</v>
      </c>
      <c r="D136" s="30" t="inlineStr">
        <is>
          <t>✓</t>
        </is>
      </c>
    </row>
    <row r="137" ht="16" customHeight="1">
      <c r="A137" s="27" t="inlineStr">
        <is>
          <t>iPhone 6 Plus</t>
        </is>
      </c>
      <c r="B137" s="28" t="inlineStr"/>
      <c r="C137" s="29" t="n">
        <v>9500</v>
      </c>
      <c r="D137" s="30" t="inlineStr">
        <is>
          <t>✓</t>
        </is>
      </c>
    </row>
    <row r="138" ht="16" customHeight="1">
      <c r="A138" s="27" t="inlineStr">
        <is>
          <t>iPhone 6S</t>
        </is>
      </c>
      <c r="B138" s="28" t="inlineStr"/>
      <c r="C138" s="29" t="n">
        <v>10000</v>
      </c>
      <c r="D138" s="30" t="inlineStr">
        <is>
          <t>✓</t>
        </is>
      </c>
    </row>
    <row r="139" ht="16" customHeight="1">
      <c r="A139" s="27" t="inlineStr">
        <is>
          <t>iPhone 6S Plus</t>
        </is>
      </c>
      <c r="B139" s="28" t="inlineStr"/>
      <c r="C139" s="29" t="n">
        <v>11000</v>
      </c>
      <c r="D139" s="30" t="inlineStr">
        <is>
          <t>✓</t>
        </is>
      </c>
    </row>
    <row r="140" ht="16" customHeight="1">
      <c r="A140" s="27" t="inlineStr">
        <is>
          <t>iPhone 7</t>
        </is>
      </c>
      <c r="B140" s="28" t="inlineStr">
        <is>
          <t>B y N</t>
        </is>
      </c>
      <c r="C140" s="29" t="n">
        <v>10000</v>
      </c>
      <c r="D140" s="30" t="inlineStr">
        <is>
          <t>✓</t>
        </is>
      </c>
    </row>
    <row r="141" ht="16" customHeight="1">
      <c r="A141" s="27" t="inlineStr">
        <is>
          <t>iPhone 7 Plus</t>
        </is>
      </c>
      <c r="B141" s="28" t="inlineStr">
        <is>
          <t>B y N</t>
        </is>
      </c>
      <c r="C141" s="29" t="n">
        <v>11000</v>
      </c>
      <c r="D141" s="30" t="inlineStr">
        <is>
          <t>✓</t>
        </is>
      </c>
    </row>
    <row r="142" ht="16" customHeight="1">
      <c r="A142" s="27" t="inlineStr">
        <is>
          <t>iPhone 8G/SE 2020</t>
        </is>
      </c>
      <c r="B142" s="28" t="inlineStr">
        <is>
          <t>Blanco</t>
        </is>
      </c>
      <c r="C142" s="29" t="n">
        <v>10000</v>
      </c>
      <c r="D142" s="30" t="inlineStr">
        <is>
          <t>✓</t>
        </is>
      </c>
    </row>
    <row r="143" ht="16" customHeight="1">
      <c r="A143" s="27" t="inlineStr">
        <is>
          <t>iPhone 8 Plus</t>
        </is>
      </c>
      <c r="B143" s="28" t="inlineStr">
        <is>
          <t>N y B</t>
        </is>
      </c>
      <c r="C143" s="29" t="n">
        <v>12000</v>
      </c>
      <c r="D143" s="30" t="inlineStr">
        <is>
          <t>✓</t>
        </is>
      </c>
    </row>
    <row r="144" ht="16" customHeight="1">
      <c r="A144" s="27" t="inlineStr">
        <is>
          <t>iPhone X</t>
        </is>
      </c>
      <c r="B144" s="28" t="inlineStr">
        <is>
          <t>JK</t>
        </is>
      </c>
      <c r="C144" s="29" t="n">
        <v>25000</v>
      </c>
      <c r="D144" s="30" t="inlineStr">
        <is>
          <t>✓</t>
        </is>
      </c>
    </row>
    <row r="145" ht="16" customHeight="1">
      <c r="A145" s="27" t="inlineStr">
        <is>
          <t>iPhone XR</t>
        </is>
      </c>
      <c r="B145" s="28" t="inlineStr">
        <is>
          <t>JK</t>
        </is>
      </c>
      <c r="C145" s="29" t="n">
        <v>25000</v>
      </c>
      <c r="D145" s="30" t="inlineStr">
        <is>
          <t>✓</t>
        </is>
      </c>
    </row>
    <row r="146" ht="16" customHeight="1">
      <c r="A146" s="27" t="inlineStr">
        <is>
          <t>iPhone XS</t>
        </is>
      </c>
      <c r="B146" s="28" t="inlineStr">
        <is>
          <t>JK</t>
        </is>
      </c>
      <c r="C146" s="29" t="n">
        <v>25000</v>
      </c>
      <c r="D146" s="30" t="inlineStr">
        <is>
          <t>✓</t>
        </is>
      </c>
    </row>
    <row r="147" ht="16" customHeight="1">
      <c r="A147" s="27" t="inlineStr">
        <is>
          <t>iPhone 11</t>
        </is>
      </c>
      <c r="B147" s="28" t="inlineStr">
        <is>
          <t>JK s/IC</t>
        </is>
      </c>
      <c r="C147" s="29" t="n">
        <v>26000</v>
      </c>
      <c r="D147" s="30" t="inlineStr">
        <is>
          <t>✓</t>
        </is>
      </c>
    </row>
    <row r="148" ht="16" customHeight="1">
      <c r="A148" s="27" t="inlineStr">
        <is>
          <t>iPhone 11</t>
        </is>
      </c>
      <c r="B148" s="28" t="inlineStr">
        <is>
          <t>GOLD s/IC</t>
        </is>
      </c>
      <c r="C148" s="29" t="n">
        <v>24000</v>
      </c>
      <c r="D148" s="30" t="inlineStr">
        <is>
          <t>✓</t>
        </is>
      </c>
    </row>
    <row r="149" ht="16" customHeight="1">
      <c r="A149" s="27" t="inlineStr">
        <is>
          <t>iPhone 11 Pro Max</t>
        </is>
      </c>
      <c r="B149" s="28" t="inlineStr">
        <is>
          <t>IC Remov</t>
        </is>
      </c>
      <c r="C149" s="29" t="n">
        <v>27000</v>
      </c>
      <c r="D149" s="30" t="inlineStr">
        <is>
          <t>✓</t>
        </is>
      </c>
    </row>
    <row r="150" ht="16" customHeight="1">
      <c r="A150" s="27" t="inlineStr">
        <is>
          <t>iPhone 11/12 Pro</t>
        </is>
      </c>
      <c r="B150" s="28" t="inlineStr">
        <is>
          <t>JK IC Rem</t>
        </is>
      </c>
      <c r="C150" s="29" t="n">
        <v>32000</v>
      </c>
      <c r="D150" s="30" t="inlineStr">
        <is>
          <t>✓</t>
        </is>
      </c>
    </row>
    <row r="151" ht="16" customHeight="1">
      <c r="A151" s="27" t="inlineStr">
        <is>
          <t>iPhone 12/12 Pro</t>
        </is>
      </c>
      <c r="B151" s="28" t="inlineStr">
        <is>
          <t>PROGRAMABLE</t>
        </is>
      </c>
      <c r="C151" s="29" t="n">
        <v>105000</v>
      </c>
      <c r="D151" s="30" t="inlineStr">
        <is>
          <t>✓</t>
        </is>
      </c>
    </row>
    <row r="152" ht="16" customHeight="1">
      <c r="A152" s="27" t="inlineStr">
        <is>
          <t>iPhone 12 Pro Max</t>
        </is>
      </c>
      <c r="B152" s="28" t="inlineStr">
        <is>
          <t>SOFT</t>
        </is>
      </c>
      <c r="C152" s="29" t="n">
        <v>80000</v>
      </c>
      <c r="D152" s="30" t="inlineStr">
        <is>
          <t>✓</t>
        </is>
      </c>
    </row>
    <row r="153" ht="16" customHeight="1">
      <c r="A153" s="27" t="inlineStr">
        <is>
          <t>iPhone 13</t>
        </is>
      </c>
      <c r="B153" s="28" t="inlineStr">
        <is>
          <t>JK SOFT OLED s/IC</t>
        </is>
      </c>
      <c r="C153" s="29" t="n">
        <v>75000</v>
      </c>
      <c r="D153" s="30" t="inlineStr">
        <is>
          <t>✓</t>
        </is>
      </c>
    </row>
    <row r="154" ht="16" customHeight="1">
      <c r="A154" s="27" t="inlineStr">
        <is>
          <t>iPhone 13</t>
        </is>
      </c>
      <c r="B154" s="28" t="inlineStr">
        <is>
          <t>JC PROGRAMABLE</t>
        </is>
      </c>
      <c r="C154" s="29" t="n">
        <v>115000</v>
      </c>
      <c r="D154" s="30" t="inlineStr">
        <is>
          <t>✓</t>
        </is>
      </c>
    </row>
    <row r="155" ht="16" customHeight="1">
      <c r="A155" s="27" t="inlineStr">
        <is>
          <t>iPhone 13 Pro</t>
        </is>
      </c>
      <c r="B155" s="28" t="inlineStr">
        <is>
          <t>JK s/IC</t>
        </is>
      </c>
      <c r="C155" s="29" t="n">
        <v>43000</v>
      </c>
      <c r="D155" s="30" t="inlineStr">
        <is>
          <t>✓</t>
        </is>
      </c>
    </row>
    <row r="156" ht="16" customHeight="1">
      <c r="A156" s="27" t="inlineStr">
        <is>
          <t>iPhone 13 Pro</t>
        </is>
      </c>
      <c r="B156" s="28" t="inlineStr">
        <is>
          <t>JC PROGRAMABLE</t>
        </is>
      </c>
      <c r="C156" s="29" t="n">
        <v>140000</v>
      </c>
      <c r="D156" s="30" t="inlineStr">
        <is>
          <t>✓</t>
        </is>
      </c>
    </row>
    <row r="157" ht="16" customHeight="1">
      <c r="A157" s="27" t="inlineStr">
        <is>
          <t>iPhone 13 Pro Max</t>
        </is>
      </c>
      <c r="B157" s="28" t="inlineStr">
        <is>
          <t>GOLD IC Remov</t>
        </is>
      </c>
      <c r="C157" s="29" t="n">
        <v>73000</v>
      </c>
      <c r="D157" s="30" t="inlineStr">
        <is>
          <t>✓</t>
        </is>
      </c>
    </row>
    <row r="158" ht="16" customHeight="1">
      <c r="A158" s="27" t="inlineStr">
        <is>
          <t>iPhone 13 Pro Max</t>
        </is>
      </c>
      <c r="B158" s="28" t="inlineStr">
        <is>
          <t>JK IC Remov</t>
        </is>
      </c>
      <c r="C158" s="29" t="n">
        <v>50000</v>
      </c>
      <c r="D158" s="30" t="inlineStr">
        <is>
          <t>✓</t>
        </is>
      </c>
    </row>
    <row r="159" ht="16" customHeight="1">
      <c r="A159" s="27" t="inlineStr">
        <is>
          <t>iPhone 13 Pro Max</t>
        </is>
      </c>
      <c r="B159" s="28" t="inlineStr">
        <is>
          <t>PROGRAMABLE</t>
        </is>
      </c>
      <c r="C159" s="29" t="n">
        <v>155000</v>
      </c>
      <c r="D159" s="30" t="inlineStr">
        <is>
          <t>✓</t>
        </is>
      </c>
    </row>
    <row r="160" ht="16" customHeight="1">
      <c r="A160" s="27" t="inlineStr">
        <is>
          <t>iPhone 14</t>
        </is>
      </c>
      <c r="B160" s="28" t="inlineStr">
        <is>
          <t>JC PROGRAMABLE</t>
        </is>
      </c>
      <c r="C160" s="29" t="n">
        <v>140000</v>
      </c>
      <c r="D160" s="30" t="inlineStr">
        <is>
          <t>✓</t>
        </is>
      </c>
    </row>
    <row r="161" ht="16" customHeight="1">
      <c r="A161" s="27" t="inlineStr">
        <is>
          <t>iPhone 14 Pro</t>
        </is>
      </c>
      <c r="B161" s="28" t="inlineStr">
        <is>
          <t>JK IC Rem</t>
        </is>
      </c>
      <c r="C161" s="29" t="n">
        <v>50000</v>
      </c>
      <c r="D161" s="30" t="inlineStr">
        <is>
          <t>✓</t>
        </is>
      </c>
    </row>
    <row r="162" ht="16" customHeight="1">
      <c r="A162" s="27" t="inlineStr">
        <is>
          <t>iPhone 14 Pro</t>
        </is>
      </c>
      <c r="B162" s="28" t="inlineStr">
        <is>
          <t>PROGRAMABLE</t>
        </is>
      </c>
      <c r="C162" s="29" t="n">
        <v>240000</v>
      </c>
      <c r="D162" s="30" t="inlineStr">
        <is>
          <t>✓</t>
        </is>
      </c>
    </row>
    <row r="163" ht="16" customHeight="1">
      <c r="A163" s="27" t="inlineStr">
        <is>
          <t>iPhone 14 Pro Max</t>
        </is>
      </c>
      <c r="B163" s="28" t="inlineStr">
        <is>
          <t>JK OLED</t>
        </is>
      </c>
      <c r="C163" s="29" t="n">
        <v>160000</v>
      </c>
      <c r="D163" s="30" t="inlineStr">
        <is>
          <t>✓</t>
        </is>
      </c>
    </row>
    <row r="164" ht="16" customHeight="1">
      <c r="A164" s="27" t="inlineStr">
        <is>
          <t>iPhone 14 Pro Max</t>
        </is>
      </c>
      <c r="B164" s="28" t="inlineStr">
        <is>
          <t>PROGRAMABLE</t>
        </is>
      </c>
      <c r="C164" s="29" t="n">
        <v>235000</v>
      </c>
      <c r="D164" s="30" t="inlineStr">
        <is>
          <t>✓</t>
        </is>
      </c>
    </row>
    <row r="165" ht="16" customHeight="1">
      <c r="A165" s="27" t="inlineStr">
        <is>
          <t>iPhone 15</t>
        </is>
      </c>
      <c r="B165" s="28" t="inlineStr">
        <is>
          <t>SUNLONG s/IC</t>
        </is>
      </c>
      <c r="C165" s="29" t="n">
        <v>72000</v>
      </c>
      <c r="D165" s="30" t="inlineStr">
        <is>
          <t>✓</t>
        </is>
      </c>
    </row>
    <row r="166" ht="16" customHeight="1">
      <c r="A166" s="27" t="inlineStr">
        <is>
          <t>iPhone 15 Pro</t>
        </is>
      </c>
      <c r="B166" s="28" t="inlineStr">
        <is>
          <t>JK IC Rem</t>
        </is>
      </c>
      <c r="C166" s="29" t="n">
        <v>50000</v>
      </c>
      <c r="D166" s="30" t="inlineStr">
        <is>
          <t>✓</t>
        </is>
      </c>
    </row>
    <row r="167" ht="16" customHeight="1">
      <c r="A167" s="27" t="inlineStr">
        <is>
          <t>iPhone 15 Pro</t>
        </is>
      </c>
      <c r="B167" s="28" t="inlineStr">
        <is>
          <t>JK SOFT OLED IC Rem</t>
        </is>
      </c>
      <c r="C167" s="29" t="n">
        <v>140000</v>
      </c>
      <c r="D167" s="30" t="inlineStr">
        <is>
          <t>✓</t>
        </is>
      </c>
    </row>
    <row r="168" ht="16" customHeight="1">
      <c r="A168" s="27" t="inlineStr">
        <is>
          <t>iPhone 15 Pro</t>
        </is>
      </c>
      <c r="B168" s="28" t="inlineStr">
        <is>
          <t>JC PROGRAMABLE</t>
        </is>
      </c>
      <c r="C168" s="29" t="n">
        <v>320000</v>
      </c>
      <c r="D168" s="30" t="inlineStr">
        <is>
          <t>✓</t>
        </is>
      </c>
    </row>
    <row r="169" ht="16" customHeight="1">
      <c r="A169" s="27" t="inlineStr">
        <is>
          <t>iPhone 15 Pro Max</t>
        </is>
      </c>
      <c r="B169" s="28" t="inlineStr">
        <is>
          <t>PROGRAMABLE</t>
        </is>
      </c>
      <c r="C169" s="29" t="n">
        <v>315000</v>
      </c>
      <c r="D169" s="30" t="inlineStr">
        <is>
          <t>✓</t>
        </is>
      </c>
    </row>
    <row r="170" ht="16" customHeight="1">
      <c r="A170" s="27" t="inlineStr">
        <is>
          <t>iPhone 15 Pro Max</t>
        </is>
      </c>
      <c r="B170" s="28" t="inlineStr">
        <is>
          <t>SOUNLONG</t>
        </is>
      </c>
      <c r="C170" s="29" t="n">
        <v>100000</v>
      </c>
      <c r="D170" s="30" t="inlineStr">
        <is>
          <t>✓</t>
        </is>
      </c>
    </row>
    <row r="171" ht="16" customHeight="1">
      <c r="A171" s="27" t="inlineStr">
        <is>
          <t>iPhone 15 Pro Max</t>
        </is>
      </c>
      <c r="B171" s="28" t="inlineStr">
        <is>
          <t>JK SOFT OLED</t>
        </is>
      </c>
      <c r="C171" s="29" t="n">
        <v>170000</v>
      </c>
      <c r="D171" s="30" t="inlineStr">
        <is>
          <t>✓</t>
        </is>
      </c>
    </row>
    <row r="172" ht="16" customHeight="1">
      <c r="A172" s="27" t="inlineStr">
        <is>
          <t>iPhone 16</t>
        </is>
      </c>
      <c r="B172" s="28" t="inlineStr">
        <is>
          <t>JK IC Rem</t>
        </is>
      </c>
      <c r="C172" s="29" t="n">
        <v>70000</v>
      </c>
      <c r="D172" s="30" t="inlineStr">
        <is>
          <t>✓</t>
        </is>
      </c>
    </row>
    <row r="173" ht="16" customHeight="1">
      <c r="A173" s="14" t="inlineStr">
        <is>
          <t>▶ XIAOMI</t>
        </is>
      </c>
    </row>
    <row r="174" ht="16" customHeight="1">
      <c r="A174" s="31" t="inlineStr">
        <is>
          <t>Xiaomi MI A3</t>
        </is>
      </c>
      <c r="B174" s="32" t="inlineStr"/>
      <c r="C174" s="33" t="n">
        <v>45000</v>
      </c>
      <c r="D174" s="34" t="inlineStr">
        <is>
          <t>✓</t>
        </is>
      </c>
    </row>
    <row r="175" ht="16" customHeight="1">
      <c r="A175" s="31" t="inlineStr">
        <is>
          <t>Xiaomi POCO M3/Redmi 9T</t>
        </is>
      </c>
      <c r="B175" s="32" t="inlineStr"/>
      <c r="C175" s="33" t="n">
        <v>13000</v>
      </c>
      <c r="D175" s="34" t="inlineStr">
        <is>
          <t>✓</t>
        </is>
      </c>
    </row>
    <row r="176" ht="16" customHeight="1">
      <c r="A176" s="31" t="inlineStr">
        <is>
          <t>Xiaomi MI 9T/9T Pro</t>
        </is>
      </c>
      <c r="B176" s="32" t="inlineStr"/>
      <c r="C176" s="33" t="n">
        <v>45000</v>
      </c>
      <c r="D176" s="34" t="inlineStr">
        <is>
          <t>✓</t>
        </is>
      </c>
    </row>
    <row r="177" ht="16" customHeight="1">
      <c r="A177" s="31" t="inlineStr">
        <is>
          <t>Xiaomi MI 13T/13T Pro</t>
        </is>
      </c>
      <c r="B177" s="32" t="inlineStr"/>
      <c r="C177" s="33" t="n">
        <v>40000</v>
      </c>
      <c r="D177" s="34" t="inlineStr">
        <is>
          <t>✓</t>
        </is>
      </c>
    </row>
    <row r="178" ht="16" customHeight="1">
      <c r="A178" s="31" t="inlineStr">
        <is>
          <t>Xiaomi Redmi 8/8A</t>
        </is>
      </c>
      <c r="B178" s="32" t="inlineStr"/>
      <c r="C178" s="33" t="n">
        <v>12000</v>
      </c>
      <c r="D178" s="34" t="inlineStr">
        <is>
          <t>✓</t>
        </is>
      </c>
    </row>
    <row r="179" ht="16" customHeight="1">
      <c r="A179" s="31" t="inlineStr">
        <is>
          <t>Xiaomi Redmi 9A/9C</t>
        </is>
      </c>
      <c r="B179" s="32" t="inlineStr"/>
      <c r="C179" s="33" t="n">
        <v>12000</v>
      </c>
      <c r="D179" s="34" t="inlineStr">
        <is>
          <t>✓</t>
        </is>
      </c>
    </row>
    <row r="180" ht="16" customHeight="1">
      <c r="A180" s="31" t="inlineStr">
        <is>
          <t>Xiaomi Redmi 12 orig</t>
        </is>
      </c>
      <c r="B180" s="32" t="inlineStr"/>
      <c r="C180" s="33" t="n">
        <v>15000</v>
      </c>
      <c r="D180" s="34" t="inlineStr">
        <is>
          <t>✓</t>
        </is>
      </c>
    </row>
    <row r="181" ht="16" customHeight="1">
      <c r="A181" s="31" t="inlineStr">
        <is>
          <t>Xiaomi Redmi 10C/12C</t>
        </is>
      </c>
      <c r="B181" s="32" t="inlineStr"/>
      <c r="C181" s="33" t="n">
        <v>13000</v>
      </c>
      <c r="D181" s="34" t="inlineStr">
        <is>
          <t>✓</t>
        </is>
      </c>
    </row>
    <row r="182" ht="16" customHeight="1">
      <c r="A182" s="31" t="inlineStr">
        <is>
          <t>Xiaomi Redmi 13C</t>
        </is>
      </c>
      <c r="B182" s="32" t="inlineStr">
        <is>
          <t>V3</t>
        </is>
      </c>
      <c r="C182" s="33" t="n">
        <v>14000</v>
      </c>
      <c r="D182" s="34" t="inlineStr">
        <is>
          <t>✓</t>
        </is>
      </c>
    </row>
    <row r="183" ht="16" customHeight="1">
      <c r="A183" s="31" t="inlineStr">
        <is>
          <t>Xiaomi Redmi 14C</t>
        </is>
      </c>
      <c r="B183" s="32" t="inlineStr"/>
      <c r="C183" s="33" t="n">
        <v>17000</v>
      </c>
      <c r="D183" s="34" t="inlineStr">
        <is>
          <t>✓</t>
        </is>
      </c>
    </row>
    <row r="184" ht="16" customHeight="1">
      <c r="A184" s="31" t="inlineStr">
        <is>
          <t>Xiaomi Note 6 Pro</t>
        </is>
      </c>
      <c r="B184" s="32" t="inlineStr"/>
      <c r="C184" s="33" t="n">
        <v>12000</v>
      </c>
      <c r="D184" s="34" t="inlineStr">
        <is>
          <t>✓</t>
        </is>
      </c>
    </row>
    <row r="185" ht="16" customHeight="1">
      <c r="A185" s="31" t="inlineStr">
        <is>
          <t>Xiaomi Note 8</t>
        </is>
      </c>
      <c r="B185" s="32" t="inlineStr">
        <is>
          <t>S/M</t>
        </is>
      </c>
      <c r="C185" s="33" t="n">
        <v>14000</v>
      </c>
      <c r="D185" s="34" t="inlineStr">
        <is>
          <t>✓</t>
        </is>
      </c>
    </row>
    <row r="186" ht="16" customHeight="1">
      <c r="A186" s="31" t="inlineStr">
        <is>
          <t>Xiaomi Note 8</t>
        </is>
      </c>
      <c r="B186" s="32" t="inlineStr">
        <is>
          <t>PREMIUM</t>
        </is>
      </c>
      <c r="C186" s="33" t="n">
        <v>16000</v>
      </c>
      <c r="D186" s="34" t="inlineStr">
        <is>
          <t>✓</t>
        </is>
      </c>
    </row>
    <row r="187" ht="16" customHeight="1">
      <c r="A187" s="31" t="inlineStr">
        <is>
          <t>Xiaomi Note 8 Pro</t>
        </is>
      </c>
      <c r="B187" s="32" t="inlineStr"/>
      <c r="C187" s="33" t="n">
        <v>14000</v>
      </c>
      <c r="D187" s="34" t="inlineStr">
        <is>
          <t>✓</t>
        </is>
      </c>
    </row>
    <row r="188" ht="16" customHeight="1">
      <c r="A188" s="31" t="inlineStr">
        <is>
          <t>Xiaomi Note 9</t>
        </is>
      </c>
      <c r="B188" s="32" t="inlineStr">
        <is>
          <t>S/M</t>
        </is>
      </c>
      <c r="C188" s="33" t="n">
        <v>13000</v>
      </c>
      <c r="D188" s="34" t="inlineStr">
        <is>
          <t>✓</t>
        </is>
      </c>
    </row>
    <row r="189" ht="16" customHeight="1">
      <c r="A189" s="31" t="inlineStr">
        <is>
          <t>Xiaomi Note 9 S/9 Pro</t>
        </is>
      </c>
      <c r="B189" s="32" t="inlineStr">
        <is>
          <t>PREMIUM</t>
        </is>
      </c>
      <c r="C189" s="33" t="n">
        <v>16000</v>
      </c>
      <c r="D189" s="34" t="inlineStr">
        <is>
          <t>✓</t>
        </is>
      </c>
    </row>
    <row r="190" ht="16" customHeight="1">
      <c r="A190" s="31" t="inlineStr">
        <is>
          <t>Xiaomi Note 10 Pro 5G</t>
        </is>
      </c>
      <c r="B190" s="32" t="inlineStr"/>
      <c r="C190" s="33" t="n">
        <v>18000</v>
      </c>
      <c r="D190" s="34" t="inlineStr">
        <is>
          <t>✓</t>
        </is>
      </c>
    </row>
    <row r="191" ht="16" customHeight="1">
      <c r="A191" s="31" t="inlineStr">
        <is>
          <t>Xiaomi Note 10 Pro 4G/Max</t>
        </is>
      </c>
      <c r="B191" s="32" t="inlineStr"/>
      <c r="C191" s="33" t="n">
        <v>42000</v>
      </c>
      <c r="D191" s="34" t="inlineStr">
        <is>
          <t>✓</t>
        </is>
      </c>
    </row>
    <row r="192" ht="16" customHeight="1">
      <c r="A192" s="31" t="inlineStr">
        <is>
          <t>Xiaomi Note 11 5G/M4 Pro</t>
        </is>
      </c>
      <c r="B192" s="32" t="inlineStr"/>
      <c r="C192" s="33" t="n">
        <v>27000</v>
      </c>
      <c r="D192" s="34" t="inlineStr">
        <is>
          <t>✓</t>
        </is>
      </c>
    </row>
    <row r="193" ht="16" customHeight="1">
      <c r="A193" s="31" t="inlineStr">
        <is>
          <t>Xiaomi Note 11S/12S M4 Pro</t>
        </is>
      </c>
      <c r="B193" s="32" t="inlineStr"/>
      <c r="C193" s="33" t="n">
        <v>35000</v>
      </c>
      <c r="D193" s="34" t="inlineStr">
        <is>
          <t>✓</t>
        </is>
      </c>
    </row>
    <row r="194" ht="16" customHeight="1">
      <c r="A194" s="31" t="inlineStr">
        <is>
          <t>Xiaomi Note 11 4G</t>
        </is>
      </c>
      <c r="B194" s="32" t="inlineStr">
        <is>
          <t>C/M</t>
        </is>
      </c>
      <c r="C194" s="33" t="n">
        <v>43000</v>
      </c>
      <c r="D194" s="34" t="inlineStr">
        <is>
          <t>✓</t>
        </is>
      </c>
    </row>
    <row r="195" ht="16" customHeight="1">
      <c r="A195" s="31" t="inlineStr">
        <is>
          <t>Xiaomi Note 11 Pro 5G</t>
        </is>
      </c>
      <c r="B195" s="32" t="inlineStr"/>
      <c r="C195" s="33" t="n">
        <v>45000</v>
      </c>
      <c r="D195" s="34" t="inlineStr">
        <is>
          <t>✓</t>
        </is>
      </c>
    </row>
    <row r="196" ht="16" customHeight="1">
      <c r="A196" s="31" t="inlineStr">
        <is>
          <t>Xiaomi Note 12 Pro 5G</t>
        </is>
      </c>
      <c r="B196" s="32" t="inlineStr"/>
      <c r="C196" s="33" t="n">
        <v>40000</v>
      </c>
      <c r="D196" s="34" t="inlineStr">
        <is>
          <t>✓</t>
        </is>
      </c>
    </row>
    <row r="197" ht="16" customHeight="1">
      <c r="A197" s="31" t="inlineStr">
        <is>
          <t>Xiaomi Note 12 Pro 5G</t>
        </is>
      </c>
      <c r="B197" s="32" t="inlineStr">
        <is>
          <t>AMOLED</t>
        </is>
      </c>
      <c r="C197" s="33" t="n">
        <v>43000</v>
      </c>
      <c r="D197" s="34" t="inlineStr">
        <is>
          <t>✓</t>
        </is>
      </c>
    </row>
    <row r="198" ht="16" customHeight="1">
      <c r="A198" s="31" t="inlineStr">
        <is>
          <t>Xiaomi Note 11 5G</t>
        </is>
      </c>
      <c r="B198" s="32" t="inlineStr">
        <is>
          <t>S/M</t>
        </is>
      </c>
      <c r="C198" s="33" t="n">
        <v>40000</v>
      </c>
      <c r="D198" s="34" t="inlineStr">
        <is>
          <t>✓</t>
        </is>
      </c>
    </row>
    <row r="199" ht="16" customHeight="1">
      <c r="A199" s="31" t="inlineStr">
        <is>
          <t>Xiaomi Note 11</t>
        </is>
      </c>
      <c r="B199" s="32" t="inlineStr">
        <is>
          <t>C/M</t>
        </is>
      </c>
      <c r="C199" s="33" t="n">
        <v>43000</v>
      </c>
      <c r="D199" s="34" t="inlineStr">
        <is>
          <t>✓</t>
        </is>
      </c>
    </row>
  </sheetData>
  <mergeCells count="5">
    <mergeCell ref="A1:D1"/>
    <mergeCell ref="A173:D173"/>
    <mergeCell ref="A135:D135"/>
    <mergeCell ref="A3:D3"/>
    <mergeCell ref="A71:D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4" customWidth="1" min="5" max="5"/>
    <col width="12" customWidth="1" min="6" max="6"/>
    <col width="42" customWidth="1" min="7" max="7"/>
  </cols>
  <sheetData>
    <row r="1" ht="28" customHeight="1">
      <c r="A1" s="1" t="inlineStr">
        <is>
          <t>COMPARACIÓN ML MECÁNICO vs SARA CELL | Módulos — 15/03/2026</t>
        </is>
      </c>
    </row>
    <row r="2" ht="14" customHeight="1">
      <c r="A2" s="35" t="inlineStr">
        <is>
          <t>⚠️ NOTA: Diferencias de precio pueden reflejar distinta calidad (OLED vs LCD, con/sin marco, JK vs programable). Verificar equivalencia antes de actuar.</t>
        </is>
      </c>
    </row>
    <row r="3" ht="20" customHeight="1">
      <c r="A3" s="2" t="inlineStr">
        <is>
          <t>Modelo</t>
        </is>
      </c>
      <c r="B3" s="2" t="inlineStr">
        <is>
          <t>Marco/Tipo ML</t>
        </is>
      </c>
      <c r="C3" s="2" t="inlineStr">
        <is>
          <t>Precio ML (c/desc)</t>
        </is>
      </c>
      <c r="D3" s="2" t="inlineStr">
        <is>
          <t>Precio Sara Cell</t>
        </is>
      </c>
      <c r="E3" s="2" t="inlineStr">
        <is>
          <t>Diferencia $</t>
        </is>
      </c>
      <c r="F3" s="2" t="inlineStr">
        <is>
          <t>Diferencia %</t>
        </is>
      </c>
      <c r="G3" s="2" t="inlineStr">
        <is>
          <t>Observación</t>
        </is>
      </c>
    </row>
    <row r="4" ht="18" customHeight="1">
      <c r="A4" s="19" t="inlineStr">
        <is>
          <t>Moto E22/E22i/E22s</t>
        </is>
      </c>
      <c r="B4" s="20" t="inlineStr">
        <is>
          <t>s/marco</t>
        </is>
      </c>
      <c r="C4" s="36" t="n">
        <v>21744</v>
      </c>
      <c r="D4" s="37" t="inlineStr">
        <is>
          <t>—</t>
        </is>
      </c>
      <c r="E4" s="37" t="inlineStr">
        <is>
          <t>—</t>
        </is>
      </c>
      <c r="F4" s="37" t="inlineStr">
        <is>
          <t>—</t>
        </is>
      </c>
      <c r="G4" s="20" t="inlineStr">
        <is>
          <t>Sara Cell SIN STOCK</t>
        </is>
      </c>
    </row>
    <row r="5" ht="18" customHeight="1">
      <c r="A5" s="38" t="inlineStr">
        <is>
          <t>Samsung A22 4G</t>
        </is>
      </c>
      <c r="B5" s="39" t="inlineStr">
        <is>
          <t>c/marco ML</t>
        </is>
      </c>
      <c r="C5" s="40" t="n">
        <v>72721</v>
      </c>
      <c r="D5" s="40" t="n">
        <v>35000</v>
      </c>
      <c r="E5" s="40" t="n">
        <v>37721</v>
      </c>
      <c r="F5" s="41" t="n">
        <v>1.077742857142857</v>
      </c>
      <c r="G5" s="39" t="inlineStr">
        <is>
          <t>ML 108% más caro</t>
        </is>
      </c>
    </row>
    <row r="6" ht="18" customHeight="1">
      <c r="A6" s="38" t="inlineStr">
        <is>
          <t>Moto G8 Power Lite</t>
        </is>
      </c>
      <c r="B6" s="39" t="inlineStr">
        <is>
          <t>s/marco</t>
        </is>
      </c>
      <c r="C6" s="40" t="n">
        <v>29776</v>
      </c>
      <c r="D6" s="40" t="n">
        <v>12500</v>
      </c>
      <c r="E6" s="40" t="n">
        <v>17276</v>
      </c>
      <c r="F6" s="41" t="n">
        <v>1.38208</v>
      </c>
      <c r="G6" s="39" t="inlineStr">
        <is>
          <t>ML 138% más caro — distinta calidad</t>
        </is>
      </c>
    </row>
    <row r="7" ht="18" customHeight="1">
      <c r="A7" s="38" t="inlineStr">
        <is>
          <t>Samsung A54 OLED</t>
        </is>
      </c>
      <c r="B7" s="39" t="inlineStr">
        <is>
          <t>c/marco ML</t>
        </is>
      </c>
      <c r="C7" s="40" t="n">
        <v>99060</v>
      </c>
      <c r="D7" s="40" t="n">
        <v>40000</v>
      </c>
      <c r="E7" s="40" t="n">
        <v>59060</v>
      </c>
      <c r="F7" s="41" t="n">
        <v>1.4765</v>
      </c>
      <c r="G7" s="39" t="inlineStr">
        <is>
          <t>ML 148% más caro — OLED vs LCD</t>
        </is>
      </c>
    </row>
    <row r="8" ht="18" customHeight="1">
      <c r="A8" s="38" t="inlineStr">
        <is>
          <t>Samsung A01 Core</t>
        </is>
      </c>
      <c r="B8" s="39" t="inlineStr">
        <is>
          <t>s/marco</t>
        </is>
      </c>
      <c r="C8" s="40" t="n">
        <v>22146</v>
      </c>
      <c r="D8" s="40" t="n">
        <v>10000</v>
      </c>
      <c r="E8" s="40" t="n">
        <v>12146</v>
      </c>
      <c r="F8" s="41" t="n">
        <v>1.2146</v>
      </c>
      <c r="G8" s="39" t="inlineStr">
        <is>
          <t>ML 121% más caro</t>
        </is>
      </c>
    </row>
    <row r="9" ht="18" customHeight="1">
      <c r="A9" s="38" t="inlineStr">
        <is>
          <t>Samsung J5 Prime</t>
        </is>
      </c>
      <c r="B9" s="39" t="inlineStr">
        <is>
          <t>s/marco</t>
        </is>
      </c>
      <c r="C9" s="40" t="n">
        <v>19204</v>
      </c>
      <c r="D9" s="40" t="n">
        <v>9000</v>
      </c>
      <c r="E9" s="40" t="n">
        <v>10204</v>
      </c>
      <c r="F9" s="41" t="n">
        <v>1.133777777777778</v>
      </c>
      <c r="G9" s="39" t="inlineStr">
        <is>
          <t>ML 113% más caro</t>
        </is>
      </c>
    </row>
    <row r="10" ht="18" customHeight="1">
      <c r="A10" s="38" t="inlineStr">
        <is>
          <t>Moto G9 Play</t>
        </is>
      </c>
      <c r="B10" s="39" t="inlineStr">
        <is>
          <t>c/marco ML</t>
        </is>
      </c>
      <c r="C10" s="40" t="n">
        <v>32999</v>
      </c>
      <c r="D10" s="40" t="n">
        <v>12000</v>
      </c>
      <c r="E10" s="40" t="n">
        <v>20999</v>
      </c>
      <c r="F10" s="41" t="n">
        <v>1.749916666666667</v>
      </c>
      <c r="G10" s="39" t="inlineStr">
        <is>
          <t>ML 175% más caro — c/marco vs s/marco</t>
        </is>
      </c>
    </row>
    <row r="11" ht="18" customHeight="1">
      <c r="A11" s="42" t="inlineStr">
        <is>
          <t>iPhone 13</t>
        </is>
      </c>
      <c r="B11" s="43" t="inlineStr">
        <is>
          <t>OLED Premium</t>
        </is>
      </c>
      <c r="C11" s="44" t="n">
        <v>96030</v>
      </c>
      <c r="D11" s="44" t="n">
        <v>115000</v>
      </c>
      <c r="E11" s="44" t="n">
        <v>-18970</v>
      </c>
      <c r="F11" s="45" t="n">
        <v>-0.1649565217391304</v>
      </c>
      <c r="G11" s="43" t="inlineStr">
        <is>
          <t>Sara Cell 20% más cara</t>
        </is>
      </c>
    </row>
    <row r="12" ht="18" customHeight="1">
      <c r="A12" s="38" t="inlineStr">
        <is>
          <t>Samsung A20S</t>
        </is>
      </c>
      <c r="B12" s="39" t="inlineStr">
        <is>
          <t>c/marco ML</t>
        </is>
      </c>
      <c r="C12" s="40" t="n">
        <v>33098</v>
      </c>
      <c r="D12" s="40" t="n">
        <v>12000</v>
      </c>
      <c r="E12" s="40" t="n">
        <v>21098</v>
      </c>
      <c r="F12" s="41" t="n">
        <v>1.758166666666667</v>
      </c>
      <c r="G12" s="39" t="inlineStr">
        <is>
          <t>ML 176% más caro</t>
        </is>
      </c>
    </row>
    <row r="13" ht="18" customHeight="1">
      <c r="A13" s="19" t="inlineStr">
        <is>
          <t>Moto G8 Power</t>
        </is>
      </c>
      <c r="B13" s="20" t="inlineStr">
        <is>
          <t>s/marco</t>
        </is>
      </c>
      <c r="C13" s="36" t="n">
        <v>36186</v>
      </c>
      <c r="D13" s="37" t="inlineStr">
        <is>
          <t>—</t>
        </is>
      </c>
      <c r="E13" s="37" t="inlineStr">
        <is>
          <t>—</t>
        </is>
      </c>
      <c r="F13" s="37" t="inlineStr">
        <is>
          <t>—</t>
        </is>
      </c>
      <c r="G13" s="20" t="inlineStr">
        <is>
          <t>Sara Cell SIN STOCK</t>
        </is>
      </c>
    </row>
    <row r="14" ht="18" customHeight="1">
      <c r="A14" s="38" t="inlineStr">
        <is>
          <t>Samsung A20 OLED</t>
        </is>
      </c>
      <c r="B14" s="39" t="inlineStr">
        <is>
          <t>c/marco OLED</t>
        </is>
      </c>
      <c r="C14" s="40" t="n">
        <v>74689</v>
      </c>
      <c r="D14" s="40" t="n">
        <v>28000</v>
      </c>
      <c r="E14" s="40" t="n">
        <v>46689</v>
      </c>
      <c r="F14" s="41" t="n">
        <v>1.667464285714286</v>
      </c>
      <c r="G14" s="39" t="inlineStr">
        <is>
          <t>ML 167% más caro — OLED premium</t>
        </is>
      </c>
    </row>
    <row r="15" ht="18" customHeight="1">
      <c r="A15" s="38" t="inlineStr">
        <is>
          <t>Moto G35 5G</t>
        </is>
      </c>
      <c r="B15" s="39" t="inlineStr">
        <is>
          <t>s/marco</t>
        </is>
      </c>
      <c r="C15" s="40" t="n">
        <v>39170</v>
      </c>
      <c r="D15" s="40" t="n">
        <v>15000</v>
      </c>
      <c r="E15" s="40" t="n">
        <v>24170</v>
      </c>
      <c r="F15" s="41" t="n">
        <v>1.611333333333333</v>
      </c>
      <c r="G15" s="39" t="inlineStr">
        <is>
          <t>ML 161% más caro — s/marco vs s/marco</t>
        </is>
      </c>
    </row>
    <row r="16" ht="18" customHeight="1">
      <c r="A16" s="38" t="inlineStr">
        <is>
          <t>Moto E6S/E6I</t>
        </is>
      </c>
      <c r="B16" s="39" t="inlineStr">
        <is>
          <t>s/marco</t>
        </is>
      </c>
      <c r="C16" s="40" t="n">
        <v>26730</v>
      </c>
      <c r="D16" s="40" t="n">
        <v>12000</v>
      </c>
      <c r="E16" s="40" t="n">
        <v>14730</v>
      </c>
      <c r="F16" s="41" t="n">
        <v>1.2275</v>
      </c>
      <c r="G16" s="39" t="inlineStr">
        <is>
          <t>ML 123% más caro</t>
        </is>
      </c>
    </row>
    <row r="17" ht="18" customHeight="1">
      <c r="A17" s="38" t="inlineStr">
        <is>
          <t>Moto G75</t>
        </is>
      </c>
      <c r="B17" s="39" t="inlineStr">
        <is>
          <t>c/marco</t>
        </is>
      </c>
      <c r="C17" s="40" t="n">
        <v>37498</v>
      </c>
      <c r="D17" s="40" t="n">
        <v>25000</v>
      </c>
      <c r="E17" s="40" t="n">
        <v>12498</v>
      </c>
      <c r="F17" s="41" t="n">
        <v>0.49992</v>
      </c>
      <c r="G17" s="39" t="inlineStr">
        <is>
          <t>ML 50% más caro</t>
        </is>
      </c>
    </row>
    <row r="18" ht="18" customHeight="1">
      <c r="A18" s="38" t="inlineStr">
        <is>
          <t>iPhone 12/12 Pro</t>
        </is>
      </c>
      <c r="B18" s="39" t="inlineStr">
        <is>
          <t>IC Removible</t>
        </is>
      </c>
      <c r="C18" s="40" t="n">
        <v>65999</v>
      </c>
      <c r="D18" s="40" t="n">
        <v>32000</v>
      </c>
      <c r="E18" s="40" t="n">
        <v>33999</v>
      </c>
      <c r="F18" s="41" t="n">
        <v>1.06246875</v>
      </c>
      <c r="G18" s="39" t="inlineStr">
        <is>
          <t>ML 106% más caro (JK vs OLED genérico)</t>
        </is>
      </c>
    </row>
    <row r="19" ht="18" customHeight="1">
      <c r="A19" s="38" t="inlineStr">
        <is>
          <t>Motorola One Hyper</t>
        </is>
      </c>
      <c r="B19" s="39" t="inlineStr">
        <is>
          <t>s/marco</t>
        </is>
      </c>
      <c r="C19" s="40" t="n">
        <v>24292</v>
      </c>
      <c r="D19" s="40" t="n">
        <v>10000</v>
      </c>
      <c r="E19" s="40" t="n">
        <v>14292</v>
      </c>
      <c r="F19" s="41" t="n">
        <v>1.4292</v>
      </c>
      <c r="G19" s="39" t="inlineStr">
        <is>
          <t>ML 143% más caro</t>
        </is>
      </c>
    </row>
    <row r="20" ht="18" customHeight="1">
      <c r="A20" s="38" t="inlineStr">
        <is>
          <t>Moto E7/E7P/E7i</t>
        </is>
      </c>
      <c r="B20" s="39" t="inlineStr">
        <is>
          <t>s/marco</t>
        </is>
      </c>
      <c r="C20" s="40" t="n">
        <v>22301</v>
      </c>
      <c r="D20" s="40" t="n">
        <v>12000</v>
      </c>
      <c r="E20" s="40" t="n">
        <v>10301</v>
      </c>
      <c r="F20" s="41" t="n">
        <v>0.8584166666666667</v>
      </c>
      <c r="G20" s="39" t="inlineStr">
        <is>
          <t>ML 86% más caro</t>
        </is>
      </c>
    </row>
    <row r="21" ht="18" customHeight="1">
      <c r="A21" s="19" t="inlineStr">
        <is>
          <t>Moto G7 Power</t>
        </is>
      </c>
      <c r="B21" s="20" t="inlineStr">
        <is>
          <t>s/marco</t>
        </is>
      </c>
      <c r="C21" s="36" t="n">
        <v>27329</v>
      </c>
      <c r="D21" s="37" t="inlineStr">
        <is>
          <t>—</t>
        </is>
      </c>
      <c r="E21" s="37" t="inlineStr">
        <is>
          <t>—</t>
        </is>
      </c>
      <c r="F21" s="37" t="inlineStr">
        <is>
          <t>—</t>
        </is>
      </c>
      <c r="G21" s="20" t="inlineStr">
        <is>
          <t>Sara Cell SIN STOCK</t>
        </is>
      </c>
    </row>
    <row r="22" ht="18" customHeight="1">
      <c r="A22" s="38" t="inlineStr">
        <is>
          <t>iPhone XR</t>
        </is>
      </c>
      <c r="B22" s="39" t="inlineStr">
        <is>
          <t>s/IC</t>
        </is>
      </c>
      <c r="C22" s="40" t="n">
        <v>54999</v>
      </c>
      <c r="D22" s="40" t="n">
        <v>25000</v>
      </c>
      <c r="E22" s="40" t="n">
        <v>29999</v>
      </c>
      <c r="F22" s="41" t="n">
        <v>1.19996</v>
      </c>
      <c r="G22" s="39" t="inlineStr">
        <is>
          <t>ML 120% más caro</t>
        </is>
      </c>
    </row>
    <row r="23" ht="18" customHeight="1">
      <c r="A23" s="38" t="inlineStr">
        <is>
          <t>Samsung A05</t>
        </is>
      </c>
      <c r="B23" s="39" t="inlineStr">
        <is>
          <t>s/marco</t>
        </is>
      </c>
      <c r="C23" s="40" t="n">
        <v>30062</v>
      </c>
      <c r="D23" s="40" t="n">
        <v>10000</v>
      </c>
      <c r="E23" s="40" t="n">
        <v>20062</v>
      </c>
      <c r="F23" s="41" t="n">
        <v>2.0062</v>
      </c>
      <c r="G23" s="39" t="inlineStr">
        <is>
          <t>ML 201% más caro (s/marco vs s/marco)</t>
        </is>
      </c>
    </row>
    <row r="24" ht="18" customHeight="1">
      <c r="A24" s="38" t="inlineStr">
        <is>
          <t>Moto E13</t>
        </is>
      </c>
      <c r="B24" s="39" t="inlineStr">
        <is>
          <t>s/marco</t>
        </is>
      </c>
      <c r="C24" s="40" t="n">
        <v>33402</v>
      </c>
      <c r="D24" s="40" t="n">
        <v>19500</v>
      </c>
      <c r="E24" s="40" t="n">
        <v>13902</v>
      </c>
      <c r="F24" s="41" t="n">
        <v>0.7129230769230769</v>
      </c>
      <c r="G24" s="39" t="inlineStr">
        <is>
          <t>ML 71% más caro vs original</t>
        </is>
      </c>
    </row>
    <row r="25" ht="18" customHeight="1">
      <c r="A25" s="38" t="inlineStr">
        <is>
          <t>Samsung A20</t>
        </is>
      </c>
      <c r="B25" s="39" t="inlineStr">
        <is>
          <t>c/marco LCD</t>
        </is>
      </c>
      <c r="C25" s="40" t="n">
        <v>56113</v>
      </c>
      <c r="D25" s="40" t="n">
        <v>28000</v>
      </c>
      <c r="E25" s="40" t="n">
        <v>28113</v>
      </c>
      <c r="F25" s="41" t="n">
        <v>1.004035714285714</v>
      </c>
      <c r="G25" s="39" t="inlineStr">
        <is>
          <t>ML 100% más caro — LCD</t>
        </is>
      </c>
    </row>
    <row r="26" ht="18" customHeight="1">
      <c r="A26" s="38" t="inlineStr">
        <is>
          <t>Samsung J7 Prime</t>
        </is>
      </c>
      <c r="B26" s="39" t="inlineStr">
        <is>
          <t>s/marco</t>
        </is>
      </c>
      <c r="C26" s="40" t="n">
        <v>23989</v>
      </c>
      <c r="D26" s="40" t="n">
        <v>8000</v>
      </c>
      <c r="E26" s="40" t="n">
        <v>15989</v>
      </c>
      <c r="F26" s="41" t="n">
        <v>1.998625</v>
      </c>
      <c r="G26" s="39" t="inlineStr">
        <is>
          <t>ML 200% más caro</t>
        </is>
      </c>
    </row>
    <row r="27" ht="18" customHeight="1">
      <c r="A27" s="38" t="inlineStr">
        <is>
          <t>Samsung A30S OLED</t>
        </is>
      </c>
      <c r="B27" s="39" t="inlineStr">
        <is>
          <t>OLED</t>
        </is>
      </c>
      <c r="C27" s="40" t="n">
        <v>85321</v>
      </c>
      <c r="D27" s="40" t="n">
        <v>30000</v>
      </c>
      <c r="E27" s="40" t="n">
        <v>55321</v>
      </c>
      <c r="F27" s="41" t="n">
        <v>1.844033333333333</v>
      </c>
      <c r="G27" s="39" t="inlineStr">
        <is>
          <t>ML 184% más caro — OLED vs no especif</t>
        </is>
      </c>
    </row>
    <row r="28" ht="18" customHeight="1">
      <c r="A28" s="38" t="inlineStr">
        <is>
          <t>Samsung A11</t>
        </is>
      </c>
      <c r="B28" s="39" t="inlineStr">
        <is>
          <t>s/marco</t>
        </is>
      </c>
      <c r="C28" s="40" t="n">
        <v>24750</v>
      </c>
      <c r="D28" s="40" t="n">
        <v>11000</v>
      </c>
      <c r="E28" s="40" t="n">
        <v>13750</v>
      </c>
      <c r="F28" s="41" t="n">
        <v>1.25</v>
      </c>
      <c r="G28" s="39" t="inlineStr">
        <is>
          <t>ML 125% más caro</t>
        </is>
      </c>
    </row>
    <row r="29" ht="18" customHeight="1">
      <c r="A29" s="38" t="inlineStr">
        <is>
          <t>Moto G31/G41/G71</t>
        </is>
      </c>
      <c r="B29" s="39" t="inlineStr">
        <is>
          <t>OLED</t>
        </is>
      </c>
      <c r="C29" s="40" t="n">
        <v>103317</v>
      </c>
      <c r="D29" s="40" t="n">
        <v>38000</v>
      </c>
      <c r="E29" s="40" t="n">
        <v>65317</v>
      </c>
      <c r="F29" s="41" t="n">
        <v>1.718868421052631</v>
      </c>
      <c r="G29" s="39" t="inlineStr">
        <is>
          <t>ML 172% más caro — OLED</t>
        </is>
      </c>
    </row>
    <row r="30" ht="18" customHeight="1">
      <c r="A30" s="38" t="inlineStr">
        <is>
          <t>iPhone 12 Pro Max</t>
        </is>
      </c>
      <c r="B30" s="39" t="inlineStr">
        <is>
          <t>OLED IC Rem</t>
        </is>
      </c>
      <c r="C30" s="40" t="n">
        <v>207325</v>
      </c>
      <c r="D30" s="40" t="n">
        <v>80000</v>
      </c>
      <c r="E30" s="40" t="n">
        <v>127325</v>
      </c>
      <c r="F30" s="41" t="n">
        <v>1.5915625</v>
      </c>
      <c r="G30" s="39" t="inlineStr">
        <is>
          <t>ML 159% más caro — OLED premium</t>
        </is>
      </c>
    </row>
    <row r="31" ht="18" customHeight="1">
      <c r="A31" s="19" t="inlineStr">
        <is>
          <t>Moto G42 Incell</t>
        </is>
      </c>
      <c r="B31" s="20" t="inlineStr">
        <is>
          <t>Incell</t>
        </is>
      </c>
      <c r="C31" s="36" t="n">
        <v>51485</v>
      </c>
      <c r="D31" s="37" t="inlineStr">
        <is>
          <t>—</t>
        </is>
      </c>
      <c r="E31" s="37" t="inlineStr">
        <is>
          <t>—</t>
        </is>
      </c>
      <c r="F31" s="37" t="inlineStr">
        <is>
          <t>—</t>
        </is>
      </c>
      <c r="G31" s="20" t="inlineStr">
        <is>
          <t>Sara Cell SIN STOCK</t>
        </is>
      </c>
    </row>
    <row r="32" ht="18" customHeight="1">
      <c r="A32" s="19" t="inlineStr">
        <is>
          <t>Samsung J7 10 OLED</t>
        </is>
      </c>
      <c r="B32" s="20" t="inlineStr">
        <is>
          <t>OLED</t>
        </is>
      </c>
      <c r="C32" s="36" t="n">
        <v>49156</v>
      </c>
      <c r="D32" s="37" t="inlineStr">
        <is>
          <t>—</t>
        </is>
      </c>
      <c r="E32" s="37" t="inlineStr">
        <is>
          <t>—</t>
        </is>
      </c>
      <c r="F32" s="37" t="inlineStr">
        <is>
          <t>—</t>
        </is>
      </c>
      <c r="G32" s="20" t="inlineStr">
        <is>
          <t>No encontrado en Sara Cell</t>
        </is>
      </c>
    </row>
    <row r="33" ht="18" customHeight="1">
      <c r="A33" s="19" t="inlineStr">
        <is>
          <t>LG K50/Q60</t>
        </is>
      </c>
      <c r="B33" s="20" t="inlineStr">
        <is>
          <t>s/marco</t>
        </is>
      </c>
      <c r="C33" s="36" t="n">
        <v>41580</v>
      </c>
      <c r="D33" s="37" t="inlineStr">
        <is>
          <t>—</t>
        </is>
      </c>
      <c r="E33" s="37" t="inlineStr">
        <is>
          <t>—</t>
        </is>
      </c>
      <c r="F33" s="37" t="inlineStr">
        <is>
          <t>—</t>
        </is>
      </c>
      <c r="G33" s="20" t="inlineStr">
        <is>
          <t>Sara Cell SIN STOCK</t>
        </is>
      </c>
    </row>
    <row r="34" ht="18" customHeight="1">
      <c r="A34" s="19" t="inlineStr">
        <is>
          <t>LG K51S</t>
        </is>
      </c>
      <c r="B34" s="20" t="inlineStr">
        <is>
          <t>s/marco</t>
        </is>
      </c>
      <c r="C34" s="36" t="n">
        <v>46648</v>
      </c>
      <c r="D34" s="37" t="inlineStr">
        <is>
          <t>—</t>
        </is>
      </c>
      <c r="E34" s="37" t="inlineStr">
        <is>
          <t>—</t>
        </is>
      </c>
      <c r="F34" s="37" t="inlineStr">
        <is>
          <t>—</t>
        </is>
      </c>
      <c r="G34" s="20" t="inlineStr">
        <is>
          <t>Sara Cell SIN STOCK</t>
        </is>
      </c>
    </row>
    <row r="35" ht="18" customHeight="1">
      <c r="A35" s="19" t="inlineStr">
        <is>
          <t>Moto G8 Power</t>
        </is>
      </c>
      <c r="B35" s="20" t="inlineStr">
        <is>
          <t>s/marco</t>
        </is>
      </c>
      <c r="C35" s="36" t="n">
        <v>36186</v>
      </c>
      <c r="D35" s="37" t="inlineStr">
        <is>
          <t>—</t>
        </is>
      </c>
      <c r="E35" s="37" t="inlineStr">
        <is>
          <t>—</t>
        </is>
      </c>
      <c r="F35" s="37" t="inlineStr">
        <is>
          <t>—</t>
        </is>
      </c>
      <c r="G35" s="20" t="inlineStr">
        <is>
          <t>Sara Cell SIN STOCK</t>
        </is>
      </c>
    </row>
    <row r="36" ht="18" customHeight="1">
      <c r="A36" s="19" t="inlineStr">
        <is>
          <t>ZTE Blade V53 Plus</t>
        </is>
      </c>
      <c r="B36" s="20" t="inlineStr">
        <is>
          <t>s/marco</t>
        </is>
      </c>
      <c r="C36" s="36" t="n">
        <v>37620</v>
      </c>
      <c r="D36" s="37" t="inlineStr">
        <is>
          <t>—</t>
        </is>
      </c>
      <c r="E36" s="37" t="inlineStr">
        <is>
          <t>—</t>
        </is>
      </c>
      <c r="F36" s="37" t="inlineStr">
        <is>
          <t>—</t>
        </is>
      </c>
      <c r="G36" s="20" t="inlineStr">
        <is>
          <t>No encontrado en Sara Cell</t>
        </is>
      </c>
    </row>
    <row r="37" ht="18" customHeight="1">
      <c r="A37" s="19" t="inlineStr">
        <is>
          <t>TCL 20B</t>
        </is>
      </c>
      <c r="B37" s="20" t="inlineStr">
        <is>
          <t>s/marco</t>
        </is>
      </c>
      <c r="C37" s="36" t="n">
        <v>37957</v>
      </c>
      <c r="D37" s="37" t="inlineStr">
        <is>
          <t>—</t>
        </is>
      </c>
      <c r="E37" s="37" t="inlineStr">
        <is>
          <t>—</t>
        </is>
      </c>
      <c r="F37" s="37" t="inlineStr">
        <is>
          <t>—</t>
        </is>
      </c>
      <c r="G37" s="20" t="inlineStr">
        <is>
          <t>Sara Cell SIN STOCK</t>
        </is>
      </c>
    </row>
    <row r="38" ht="18" customHeight="1">
      <c r="A38" s="19" t="inlineStr">
        <is>
          <t>TCL 40S/405</t>
        </is>
      </c>
      <c r="B38" s="20" t="inlineStr">
        <is>
          <t>s/marco</t>
        </is>
      </c>
      <c r="C38" s="36" t="n">
        <v>43883</v>
      </c>
      <c r="D38" s="37" t="inlineStr">
        <is>
          <t>—</t>
        </is>
      </c>
      <c r="E38" s="37" t="inlineStr">
        <is>
          <t>—</t>
        </is>
      </c>
      <c r="F38" s="37" t="inlineStr">
        <is>
          <t>—</t>
        </is>
      </c>
      <c r="G38" s="20" t="inlineStr">
        <is>
          <t>No encontrado en Sara Cell</t>
        </is>
      </c>
    </row>
    <row r="39" ht="18" customHeight="1">
      <c r="A39" s="19" t="inlineStr">
        <is>
          <t>Moto G7 Power c/m</t>
        </is>
      </c>
      <c r="B39" s="20" t="inlineStr">
        <is>
          <t>c/marco</t>
        </is>
      </c>
      <c r="C39" s="36" t="n">
        <v>31884</v>
      </c>
      <c r="D39" s="37" t="inlineStr">
        <is>
          <t>—</t>
        </is>
      </c>
      <c r="E39" s="37" t="inlineStr">
        <is>
          <t>—</t>
        </is>
      </c>
      <c r="F39" s="37" t="inlineStr">
        <is>
          <t>—</t>
        </is>
      </c>
      <c r="G39" s="20" t="inlineStr">
        <is>
          <t>Sara Cell SIN STOCK</t>
        </is>
      </c>
    </row>
    <row r="40" ht="18" customHeight="1">
      <c r="A40" s="19" t="inlineStr">
        <is>
          <t>Samsung A05S c/marco</t>
        </is>
      </c>
      <c r="B40" s="20" t="inlineStr">
        <is>
          <t>c/marco Incell</t>
        </is>
      </c>
      <c r="C40" s="36" t="n">
        <v>48030</v>
      </c>
      <c r="D40" s="37" t="inlineStr">
        <is>
          <t>—</t>
        </is>
      </c>
      <c r="E40" s="37" t="inlineStr">
        <is>
          <t>—</t>
        </is>
      </c>
      <c r="F40" s="37" t="inlineStr">
        <is>
          <t>—</t>
        </is>
      </c>
      <c r="G40" s="20" t="inlineStr">
        <is>
          <t>No encontrado en Sara Cell</t>
        </is>
      </c>
    </row>
    <row r="42">
      <c r="A42" s="13" t="inlineStr">
        <is>
          <t>LEYENDA:</t>
        </is>
      </c>
    </row>
    <row r="43">
      <c r="A43" s="46" t="inlineStr">
        <is>
          <t xml:space="preserve">  ML más caro que Sara Cell</t>
        </is>
      </c>
    </row>
    <row r="44">
      <c r="A44" s="47" t="inlineStr">
        <is>
          <t xml:space="preserve">  ML más barato que Sara Cell</t>
        </is>
      </c>
    </row>
    <row r="45">
      <c r="A45" s="48" t="inlineStr">
        <is>
          <t xml:space="preserve">  Sara Cell SIN STOCK o modelo no encontrado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2" customWidth="1" min="5" max="5"/>
    <col width="14" customWidth="1" min="6" max="6"/>
    <col width="16" customWidth="1" min="7" max="7"/>
    <col width="20" customWidth="1" min="8" max="8"/>
  </cols>
  <sheetData>
    <row r="1" ht="28" customHeight="1">
      <c r="A1" s="1" t="inlineStr">
        <is>
          <t>STOCK SAN JOSE vs PUBLICACIONES ML — Módulos | Para completar con datos SJ</t>
        </is>
      </c>
    </row>
    <row r="2">
      <c r="A2" s="35" t="inlineStr">
        <is>
          <t>⚠️ Completar columnas 'Stock SJ' y 'Ventas/día' importando el archivo SJ Planilla de Stock y el archivo de Ventas desde Nexus. Las columnas amarillas requieren datos.</t>
        </is>
      </c>
    </row>
    <row r="3" ht="28" customHeight="1">
      <c r="A3" s="2" t="inlineStr">
        <is>
          <t>Modelo ML Mecánico</t>
        </is>
      </c>
      <c r="B3" s="2" t="inlineStr">
        <is>
          <t>Precio ML (c/desc)</t>
        </is>
      </c>
      <c r="C3" s="2" t="inlineStr">
        <is>
          <t>Stock SJ
⚠️ completar</t>
        </is>
      </c>
      <c r="D3" s="2" t="inlineStr">
        <is>
          <t>Stock DEP.FULL ML
⚠️ completar</t>
        </is>
      </c>
      <c r="E3" s="2" t="inlineStr">
        <is>
          <t>Ventas/día
⚠️ completar</t>
        </is>
      </c>
      <c r="F3" s="2" t="inlineStr">
        <is>
          <t>Días de stock SJ</t>
        </is>
      </c>
      <c r="G3" s="2" t="inlineStr">
        <is>
          <t>Días perdidos
(stock=0 o ≤5)</t>
        </is>
      </c>
      <c r="H3" s="2" t="inlineStr">
        <is>
          <t>Estado</t>
        </is>
      </c>
    </row>
    <row r="4" ht="18" customHeight="1">
      <c r="A4" s="4" t="inlineStr">
        <is>
          <t>Moto E22/E22i/E22s</t>
        </is>
      </c>
      <c r="B4" s="6" t="n">
        <v>21744</v>
      </c>
      <c r="C4" s="49" t="n"/>
      <c r="D4" s="49" t="n"/>
      <c r="E4" s="49" t="n"/>
      <c r="F4" s="50">
        <f>IF(E4&gt;0,C4/E4,"—")</f>
        <v/>
      </c>
      <c r="G4" s="51">
        <f>IF(C4&lt;=5,"⚠️ CRÍTICO","OK")</f>
        <v/>
      </c>
      <c r="H4" s="52">
        <f>IF(C4=0,"❌ SIN STOCK en SJ",IF(C4&lt;=5,"⚠️ Stock crítico (≤5 uds)","✅ Con stock"))</f>
        <v/>
      </c>
    </row>
    <row r="5" ht="18" customHeight="1">
      <c r="A5" s="9" t="inlineStr">
        <is>
          <t>Samsung A22 4G c/marco</t>
        </is>
      </c>
      <c r="B5" s="11" t="n">
        <v>72721</v>
      </c>
      <c r="C5" s="49" t="n"/>
      <c r="D5" s="49" t="n"/>
      <c r="E5" s="49" t="n"/>
      <c r="F5" s="53">
        <f>IF(E5&gt;0,C5/E5,"—")</f>
        <v/>
      </c>
      <c r="G5" s="54">
        <f>IF(C5&lt;=5,"⚠️ CRÍTICO","OK")</f>
        <v/>
      </c>
      <c r="H5" s="55">
        <f>IF(C5=0,"❌ SIN STOCK en SJ",IF(C5&lt;=5,"⚠️ Stock crítico (≤5 uds)","✅ Con stock"))</f>
        <v/>
      </c>
    </row>
    <row r="6" ht="18" customHeight="1">
      <c r="A6" s="4" t="inlineStr">
        <is>
          <t>Moto G8 Power Lite</t>
        </is>
      </c>
      <c r="B6" s="6" t="n">
        <v>29776</v>
      </c>
      <c r="C6" s="49" t="n"/>
      <c r="D6" s="49" t="n"/>
      <c r="E6" s="49" t="n"/>
      <c r="F6" s="50">
        <f>IF(E6&gt;0,C6/E6,"—")</f>
        <v/>
      </c>
      <c r="G6" s="51">
        <f>IF(C6&lt;=5,"⚠️ CRÍTICO","OK")</f>
        <v/>
      </c>
      <c r="H6" s="52">
        <f>IF(C6=0,"❌ SIN STOCK en SJ",IF(C6&lt;=5,"⚠️ Stock crítico (≤5 uds)","✅ Con stock"))</f>
        <v/>
      </c>
    </row>
    <row r="7" ht="18" customHeight="1">
      <c r="A7" s="9" t="inlineStr">
        <is>
          <t>Samsung A54 OLED c/marco</t>
        </is>
      </c>
      <c r="B7" s="11" t="n">
        <v>99060</v>
      </c>
      <c r="C7" s="49" t="n"/>
      <c r="D7" s="49" t="n"/>
      <c r="E7" s="49" t="n"/>
      <c r="F7" s="53">
        <f>IF(E7&gt;0,C7/E7,"—")</f>
        <v/>
      </c>
      <c r="G7" s="54">
        <f>IF(C7&lt;=5,"⚠️ CRÍTICO","OK")</f>
        <v/>
      </c>
      <c r="H7" s="55">
        <f>IF(C7=0,"❌ SIN STOCK en SJ",IF(C7&lt;=5,"⚠️ Stock crítico (≤5 uds)","✅ Con stock"))</f>
        <v/>
      </c>
    </row>
    <row r="8" ht="18" customHeight="1">
      <c r="A8" s="4" t="inlineStr">
        <is>
          <t>Samsung A01 Core</t>
        </is>
      </c>
      <c r="B8" s="6" t="n">
        <v>22146</v>
      </c>
      <c r="C8" s="49" t="n"/>
      <c r="D8" s="49" t="n"/>
      <c r="E8" s="49" t="n"/>
      <c r="F8" s="50">
        <f>IF(E8&gt;0,C8/E8,"—")</f>
        <v/>
      </c>
      <c r="G8" s="51">
        <f>IF(C8&lt;=5,"⚠️ CRÍTICO","OK")</f>
        <v/>
      </c>
      <c r="H8" s="52">
        <f>IF(C8=0,"❌ SIN STOCK en SJ",IF(C8&lt;=5,"⚠️ Stock crítico (≤5 uds)","✅ Con stock"))</f>
        <v/>
      </c>
    </row>
    <row r="9" ht="18" customHeight="1">
      <c r="A9" s="9" t="inlineStr">
        <is>
          <t>Samsung J5 Prime</t>
        </is>
      </c>
      <c r="B9" s="11" t="n">
        <v>19204</v>
      </c>
      <c r="C9" s="49" t="n"/>
      <c r="D9" s="49" t="n"/>
      <c r="E9" s="49" t="n"/>
      <c r="F9" s="53">
        <f>IF(E9&gt;0,C9/E9,"—")</f>
        <v/>
      </c>
      <c r="G9" s="54">
        <f>IF(C9&lt;=5,"⚠️ CRÍTICO","OK")</f>
        <v/>
      </c>
      <c r="H9" s="55">
        <f>IF(C9=0,"❌ SIN STOCK en SJ",IF(C9&lt;=5,"⚠️ Stock crítico (≤5 uds)","✅ Con stock"))</f>
        <v/>
      </c>
    </row>
    <row r="10" ht="18" customHeight="1">
      <c r="A10" s="4" t="inlineStr">
        <is>
          <t>Moto G9 Play c/marco</t>
        </is>
      </c>
      <c r="B10" s="6" t="n">
        <v>32999</v>
      </c>
      <c r="C10" s="49" t="n"/>
      <c r="D10" s="49" t="n"/>
      <c r="E10" s="49" t="n"/>
      <c r="F10" s="50">
        <f>IF(E10&gt;0,C10/E10,"—")</f>
        <v/>
      </c>
      <c r="G10" s="51">
        <f>IF(C10&lt;=5,"⚠️ CRÍTICO","OK")</f>
        <v/>
      </c>
      <c r="H10" s="52">
        <f>IF(C10=0,"❌ SIN STOCK en SJ",IF(C10&lt;=5,"⚠️ Stock crítico (≤5 uds)","✅ Con stock"))</f>
        <v/>
      </c>
    </row>
    <row r="11" ht="18" customHeight="1">
      <c r="A11" s="9" t="inlineStr">
        <is>
          <t>iPhone 13</t>
        </is>
      </c>
      <c r="B11" s="11" t="n">
        <v>96030</v>
      </c>
      <c r="C11" s="49" t="n"/>
      <c r="D11" s="49" t="n"/>
      <c r="E11" s="49" t="n"/>
      <c r="F11" s="53">
        <f>IF(E11&gt;0,C11/E11,"—")</f>
        <v/>
      </c>
      <c r="G11" s="54">
        <f>IF(C11&lt;=5,"⚠️ CRÍTICO","OK")</f>
        <v/>
      </c>
      <c r="H11" s="55">
        <f>IF(C11=0,"❌ SIN STOCK en SJ",IF(C11&lt;=5,"⚠️ Stock crítico (≤5 uds)","✅ Con stock"))</f>
        <v/>
      </c>
    </row>
    <row r="12" ht="18" customHeight="1">
      <c r="A12" s="4" t="inlineStr">
        <is>
          <t>Samsung A20S c/marco</t>
        </is>
      </c>
      <c r="B12" s="6" t="n">
        <v>33098</v>
      </c>
      <c r="C12" s="49" t="n"/>
      <c r="D12" s="49" t="n"/>
      <c r="E12" s="49" t="n"/>
      <c r="F12" s="50">
        <f>IF(E12&gt;0,C12/E12,"—")</f>
        <v/>
      </c>
      <c r="G12" s="51">
        <f>IF(C12&lt;=5,"⚠️ CRÍTICO","OK")</f>
        <v/>
      </c>
      <c r="H12" s="52">
        <f>IF(C12=0,"❌ SIN STOCK en SJ",IF(C12&lt;=5,"⚠️ Stock crítico (≤5 uds)","✅ Con stock"))</f>
        <v/>
      </c>
    </row>
    <row r="13" ht="18" customHeight="1">
      <c r="A13" s="9" t="inlineStr">
        <is>
          <t>Moto G8 Power</t>
        </is>
      </c>
      <c r="B13" s="11" t="n">
        <v>36186</v>
      </c>
      <c r="C13" s="49" t="n"/>
      <c r="D13" s="49" t="n"/>
      <c r="E13" s="49" t="n"/>
      <c r="F13" s="53">
        <f>IF(E13&gt;0,C13/E13,"—")</f>
        <v/>
      </c>
      <c r="G13" s="54">
        <f>IF(C13&lt;=5,"⚠️ CRÍTICO","OK")</f>
        <v/>
      </c>
      <c r="H13" s="55">
        <f>IF(C13=0,"❌ SIN STOCK en SJ",IF(C13&lt;=5,"⚠️ Stock crítico (≤5 uds)","✅ Con stock"))</f>
        <v/>
      </c>
    </row>
    <row r="14" ht="18" customHeight="1">
      <c r="A14" s="4" t="inlineStr">
        <is>
          <t>Samsung A20 OLED c/marco</t>
        </is>
      </c>
      <c r="B14" s="6" t="n">
        <v>74689</v>
      </c>
      <c r="C14" s="49" t="n"/>
      <c r="D14" s="49" t="n"/>
      <c r="E14" s="49" t="n"/>
      <c r="F14" s="50">
        <f>IF(E14&gt;0,C14/E14,"—")</f>
        <v/>
      </c>
      <c r="G14" s="51">
        <f>IF(C14&lt;=5,"⚠️ CRÍTICO","OK")</f>
        <v/>
      </c>
      <c r="H14" s="52">
        <f>IF(C14=0,"❌ SIN STOCK en SJ",IF(C14&lt;=5,"⚠️ Stock crítico (≤5 uds)","✅ Con stock"))</f>
        <v/>
      </c>
    </row>
    <row r="15" ht="18" customHeight="1">
      <c r="A15" s="9" t="inlineStr">
        <is>
          <t>TCL 20B</t>
        </is>
      </c>
      <c r="B15" s="11" t="n">
        <v>37957</v>
      </c>
      <c r="C15" s="49" t="n"/>
      <c r="D15" s="49" t="n"/>
      <c r="E15" s="49" t="n"/>
      <c r="F15" s="53">
        <f>IF(E15&gt;0,C15/E15,"—")</f>
        <v/>
      </c>
      <c r="G15" s="54">
        <f>IF(C15&lt;=5,"⚠️ CRÍTICO","OK")</f>
        <v/>
      </c>
      <c r="H15" s="55">
        <f>IF(C15=0,"❌ SIN STOCK en SJ",IF(C15&lt;=5,"⚠️ Stock crítico (≤5 uds)","✅ Con stock"))</f>
        <v/>
      </c>
    </row>
    <row r="16" ht="18" customHeight="1">
      <c r="A16" s="4" t="inlineStr">
        <is>
          <t>Moto G35 5G</t>
        </is>
      </c>
      <c r="B16" s="6" t="n">
        <v>39170</v>
      </c>
      <c r="C16" s="49" t="n"/>
      <c r="D16" s="49" t="n"/>
      <c r="E16" s="49" t="n"/>
      <c r="F16" s="50">
        <f>IF(E16&gt;0,C16/E16,"—")</f>
        <v/>
      </c>
      <c r="G16" s="51">
        <f>IF(C16&lt;=5,"⚠️ CRÍTICO","OK")</f>
        <v/>
      </c>
      <c r="H16" s="52">
        <f>IF(C16=0,"❌ SIN STOCK en SJ",IF(C16&lt;=5,"⚠️ Stock crítico (≤5 uds)","✅ Con stock"))</f>
        <v/>
      </c>
    </row>
    <row r="17" ht="18" customHeight="1">
      <c r="A17" s="9" t="inlineStr">
        <is>
          <t>Moto E6S/E6I</t>
        </is>
      </c>
      <c r="B17" s="11" t="n">
        <v>26730</v>
      </c>
      <c r="C17" s="49" t="n"/>
      <c r="D17" s="49" t="n"/>
      <c r="E17" s="49" t="n"/>
      <c r="F17" s="53">
        <f>IF(E17&gt;0,C17/E17,"—")</f>
        <v/>
      </c>
      <c r="G17" s="54">
        <f>IF(C17&lt;=5,"⚠️ CRÍTICO","OK")</f>
        <v/>
      </c>
      <c r="H17" s="55">
        <f>IF(C17=0,"❌ SIN STOCK en SJ",IF(C17&lt;=5,"⚠️ Stock crítico (≤5 uds)","✅ Con stock"))</f>
        <v/>
      </c>
    </row>
    <row r="18" ht="18" customHeight="1">
      <c r="A18" s="4" t="inlineStr">
        <is>
          <t>Samsung J7 10 OLED</t>
        </is>
      </c>
      <c r="B18" s="6" t="n">
        <v>49156</v>
      </c>
      <c r="C18" s="49" t="n"/>
      <c r="D18" s="49" t="n"/>
      <c r="E18" s="49" t="n"/>
      <c r="F18" s="50">
        <f>IF(E18&gt;0,C18/E18,"—")</f>
        <v/>
      </c>
      <c r="G18" s="51">
        <f>IF(C18&lt;=5,"⚠️ CRÍTICO","OK")</f>
        <v/>
      </c>
      <c r="H18" s="52">
        <f>IF(C18=0,"❌ SIN STOCK en SJ",IF(C18&lt;=5,"⚠️ Stock crítico (≤5 uds)","✅ Con stock"))</f>
        <v/>
      </c>
    </row>
    <row r="19" ht="18" customHeight="1">
      <c r="A19" s="9" t="inlineStr">
        <is>
          <t>Moto G75</t>
        </is>
      </c>
      <c r="B19" s="11" t="n">
        <v>37498</v>
      </c>
      <c r="C19" s="49" t="n"/>
      <c r="D19" s="49" t="n"/>
      <c r="E19" s="49" t="n"/>
      <c r="F19" s="53">
        <f>IF(E19&gt;0,C19/E19,"—")</f>
        <v/>
      </c>
      <c r="G19" s="54">
        <f>IF(C19&lt;=5,"⚠️ CRÍTICO","OK")</f>
        <v/>
      </c>
      <c r="H19" s="55">
        <f>IF(C19=0,"❌ SIN STOCK en SJ",IF(C19&lt;=5,"⚠️ Stock crítico (≤5 uds)","✅ Con stock"))</f>
        <v/>
      </c>
    </row>
    <row r="20" ht="18" customHeight="1">
      <c r="A20" s="4" t="inlineStr">
        <is>
          <t>LG K50/Q60</t>
        </is>
      </c>
      <c r="B20" s="6" t="n">
        <v>41580</v>
      </c>
      <c r="C20" s="49" t="n"/>
      <c r="D20" s="49" t="n"/>
      <c r="E20" s="49" t="n"/>
      <c r="F20" s="50">
        <f>IF(E20&gt;0,C20/E20,"—")</f>
        <v/>
      </c>
      <c r="G20" s="51">
        <f>IF(C20&lt;=5,"⚠️ CRÍTICO","OK")</f>
        <v/>
      </c>
      <c r="H20" s="52">
        <f>IF(C20=0,"❌ SIN STOCK en SJ",IF(C20&lt;=5,"⚠️ Stock crítico (≤5 uds)","✅ Con stock"))</f>
        <v/>
      </c>
    </row>
    <row r="21" ht="18" customHeight="1">
      <c r="A21" s="9" t="inlineStr">
        <is>
          <t>iPhone 12/12 Pro IC Rem</t>
        </is>
      </c>
      <c r="B21" s="11" t="n">
        <v>65999</v>
      </c>
      <c r="C21" s="49" t="n"/>
      <c r="D21" s="49" t="n"/>
      <c r="E21" s="49" t="n"/>
      <c r="F21" s="53">
        <f>IF(E21&gt;0,C21/E21,"—")</f>
        <v/>
      </c>
      <c r="G21" s="54">
        <f>IF(C21&lt;=5,"⚠️ CRÍTICO","OK")</f>
        <v/>
      </c>
      <c r="H21" s="55">
        <f>IF(C21=0,"❌ SIN STOCK en SJ",IF(C21&lt;=5,"⚠️ Stock crítico (≤5 uds)","✅ Con stock"))</f>
        <v/>
      </c>
    </row>
    <row r="22" ht="18" customHeight="1">
      <c r="A22" s="4" t="inlineStr">
        <is>
          <t>Motorola One Hyper</t>
        </is>
      </c>
      <c r="B22" s="6" t="n">
        <v>24292</v>
      </c>
      <c r="C22" s="49" t="n"/>
      <c r="D22" s="49" t="n"/>
      <c r="E22" s="49" t="n"/>
      <c r="F22" s="50">
        <f>IF(E22&gt;0,C22/E22,"—")</f>
        <v/>
      </c>
      <c r="G22" s="51">
        <f>IF(C22&lt;=5,"⚠️ CRÍTICO","OK")</f>
        <v/>
      </c>
      <c r="H22" s="52">
        <f>IF(C22=0,"❌ SIN STOCK en SJ",IF(C22&lt;=5,"⚠️ Stock crítico (≤5 uds)","✅ Con stock"))</f>
        <v/>
      </c>
    </row>
    <row r="23" ht="18" customHeight="1">
      <c r="A23" s="9" t="inlineStr">
        <is>
          <t>Moto E7/E7P/E7i c/marco</t>
        </is>
      </c>
      <c r="B23" s="11" t="n">
        <v>30301</v>
      </c>
      <c r="C23" s="49" t="n"/>
      <c r="D23" s="49" t="n"/>
      <c r="E23" s="49" t="n"/>
      <c r="F23" s="53">
        <f>IF(E23&gt;0,C23/E23,"—")</f>
        <v/>
      </c>
      <c r="G23" s="54">
        <f>IF(C23&lt;=5,"⚠️ CRÍTICO","OK")</f>
        <v/>
      </c>
      <c r="H23" s="55">
        <f>IF(C23=0,"❌ SIN STOCK en SJ",IF(C23&lt;=5,"⚠️ Stock crítico (≤5 uds)","✅ Con stock"))</f>
        <v/>
      </c>
    </row>
    <row r="24" ht="18" customHeight="1">
      <c r="A24" s="4" t="inlineStr">
        <is>
          <t>Moto E7/E7P/E7i s/marco</t>
        </is>
      </c>
      <c r="B24" s="6" t="n">
        <v>22301</v>
      </c>
      <c r="C24" s="49" t="n"/>
      <c r="D24" s="49" t="n"/>
      <c r="E24" s="49" t="n"/>
      <c r="F24" s="50">
        <f>IF(E24&gt;0,C24/E24,"—")</f>
        <v/>
      </c>
      <c r="G24" s="51">
        <f>IF(C24&lt;=5,"⚠️ CRÍTICO","OK")</f>
        <v/>
      </c>
      <c r="H24" s="52">
        <f>IF(C24=0,"❌ SIN STOCK en SJ",IF(C24&lt;=5,"⚠️ Stock crítico (≤5 uds)","✅ Con stock"))</f>
        <v/>
      </c>
    </row>
    <row r="25" ht="18" customHeight="1">
      <c r="A25" s="9" t="inlineStr">
        <is>
          <t>Moto G7 Power s/marco</t>
        </is>
      </c>
      <c r="B25" s="11" t="n">
        <v>27329</v>
      </c>
      <c r="C25" s="49" t="n"/>
      <c r="D25" s="49" t="n"/>
      <c r="E25" s="49" t="n"/>
      <c r="F25" s="53">
        <f>IF(E25&gt;0,C25/E25,"—")</f>
        <v/>
      </c>
      <c r="G25" s="54">
        <f>IF(C25&lt;=5,"⚠️ CRÍTICO","OK")</f>
        <v/>
      </c>
      <c r="H25" s="55">
        <f>IF(C25=0,"❌ SIN STOCK en SJ",IF(C25&lt;=5,"⚠️ Stock crítico (≤5 uds)","✅ Con stock"))</f>
        <v/>
      </c>
    </row>
    <row r="26" ht="18" customHeight="1">
      <c r="A26" s="4" t="inlineStr">
        <is>
          <t>iPhone XR</t>
        </is>
      </c>
      <c r="B26" s="6" t="n">
        <v>54999</v>
      </c>
      <c r="C26" s="49" t="n"/>
      <c r="D26" s="49" t="n"/>
      <c r="E26" s="49" t="n"/>
      <c r="F26" s="50">
        <f>IF(E26&gt;0,C26/E26,"—")</f>
        <v/>
      </c>
      <c r="G26" s="51">
        <f>IF(C26&lt;=5,"⚠️ CRÍTICO","OK")</f>
        <v/>
      </c>
      <c r="H26" s="52">
        <f>IF(C26=0,"❌ SIN STOCK en SJ",IF(C26&lt;=5,"⚠️ Stock crítico (≤5 uds)","✅ Con stock"))</f>
        <v/>
      </c>
    </row>
    <row r="27" ht="18" customHeight="1">
      <c r="A27" s="9" t="inlineStr">
        <is>
          <t>Samsung A05</t>
        </is>
      </c>
      <c r="B27" s="11" t="n">
        <v>30062</v>
      </c>
      <c r="C27" s="49" t="n"/>
      <c r="D27" s="49" t="n"/>
      <c r="E27" s="49" t="n"/>
      <c r="F27" s="53">
        <f>IF(E27&gt;0,C27/E27,"—")</f>
        <v/>
      </c>
      <c r="G27" s="54">
        <f>IF(C27&lt;=5,"⚠️ CRÍTICO","OK")</f>
        <v/>
      </c>
      <c r="H27" s="55">
        <f>IF(C27=0,"❌ SIN STOCK en SJ",IF(C27&lt;=5,"⚠️ Stock crítico (≤5 uds)","✅ Con stock"))</f>
        <v/>
      </c>
    </row>
    <row r="28" ht="18" customHeight="1">
      <c r="A28" s="4" t="inlineStr">
        <is>
          <t>Moto G42 Incell</t>
        </is>
      </c>
      <c r="B28" s="6" t="n">
        <v>51485</v>
      </c>
      <c r="C28" s="49" t="n"/>
      <c r="D28" s="49" t="n"/>
      <c r="E28" s="49" t="n"/>
      <c r="F28" s="50">
        <f>IF(E28&gt;0,C28/E28,"—")</f>
        <v/>
      </c>
      <c r="G28" s="51">
        <f>IF(C28&lt;=5,"⚠️ CRÍTICO","OK")</f>
        <v/>
      </c>
      <c r="H28" s="52">
        <f>IF(C28=0,"❌ SIN STOCK en SJ",IF(C28&lt;=5,"⚠️ Stock crítico (≤5 uds)","✅ Con stock"))</f>
        <v/>
      </c>
    </row>
    <row r="29" ht="18" customHeight="1">
      <c r="A29" s="9" t="inlineStr">
        <is>
          <t>TCL 40S/405/408/507</t>
        </is>
      </c>
      <c r="B29" s="11" t="n">
        <v>43883</v>
      </c>
      <c r="C29" s="49" t="n"/>
      <c r="D29" s="49" t="n"/>
      <c r="E29" s="49" t="n"/>
      <c r="F29" s="53">
        <f>IF(E29&gt;0,C29/E29,"—")</f>
        <v/>
      </c>
      <c r="G29" s="54">
        <f>IF(C29&lt;=5,"⚠️ CRÍTICO","OK")</f>
        <v/>
      </c>
      <c r="H29" s="55">
        <f>IF(C29=0,"❌ SIN STOCK en SJ",IF(C29&lt;=5,"⚠️ Stock crítico (≤5 uds)","✅ Con stock"))</f>
        <v/>
      </c>
    </row>
    <row r="30" ht="18" customHeight="1">
      <c r="A30" s="4" t="inlineStr">
        <is>
          <t>Moto E13</t>
        </is>
      </c>
      <c r="B30" s="6" t="n">
        <v>33402</v>
      </c>
      <c r="C30" s="49" t="n"/>
      <c r="D30" s="49" t="n"/>
      <c r="E30" s="49" t="n"/>
      <c r="F30" s="50">
        <f>IF(E30&gt;0,C30/E30,"—")</f>
        <v/>
      </c>
      <c r="G30" s="51">
        <f>IF(C30&lt;=5,"⚠️ CRÍTICO","OK")</f>
        <v/>
      </c>
      <c r="H30" s="52">
        <f>IF(C30=0,"❌ SIN STOCK en SJ",IF(C30&lt;=5,"⚠️ Stock crítico (≤5 uds)","✅ Con stock"))</f>
        <v/>
      </c>
    </row>
    <row r="31" ht="18" customHeight="1">
      <c r="A31" s="9" t="inlineStr">
        <is>
          <t>Samsung A20 c/marco</t>
        </is>
      </c>
      <c r="B31" s="11" t="n">
        <v>56113</v>
      </c>
      <c r="C31" s="49" t="n"/>
      <c r="D31" s="49" t="n"/>
      <c r="E31" s="49" t="n"/>
      <c r="F31" s="53">
        <f>IF(E31&gt;0,C31/E31,"—")</f>
        <v/>
      </c>
      <c r="G31" s="54">
        <f>IF(C31&lt;=5,"⚠️ CRÍTICO","OK")</f>
        <v/>
      </c>
      <c r="H31" s="55">
        <f>IF(C31=0,"❌ SIN STOCK en SJ",IF(C31&lt;=5,"⚠️ Stock crítico (≤5 uds)","✅ Con stock"))</f>
        <v/>
      </c>
    </row>
    <row r="32" ht="18" customHeight="1">
      <c r="A32" s="4" t="inlineStr">
        <is>
          <t>ZTE Blade V53 Plus</t>
        </is>
      </c>
      <c r="B32" s="6" t="n">
        <v>37620</v>
      </c>
      <c r="C32" s="49" t="n"/>
      <c r="D32" s="49" t="n"/>
      <c r="E32" s="49" t="n"/>
      <c r="F32" s="50">
        <f>IF(E32&gt;0,C32/E32,"—")</f>
        <v/>
      </c>
      <c r="G32" s="51">
        <f>IF(C32&lt;=5,"⚠️ CRÍTICO","OK")</f>
        <v/>
      </c>
      <c r="H32" s="52">
        <f>IF(C32=0,"❌ SIN STOCK en SJ",IF(C32&lt;=5,"⚠️ Stock crítico (≤5 uds)","✅ Con stock"))</f>
        <v/>
      </c>
    </row>
    <row r="33" ht="18" customHeight="1">
      <c r="A33" s="9" t="inlineStr">
        <is>
          <t>Samsung J7 Prime</t>
        </is>
      </c>
      <c r="B33" s="11" t="n">
        <v>23989</v>
      </c>
      <c r="C33" s="49" t="n"/>
      <c r="D33" s="49" t="n"/>
      <c r="E33" s="49" t="n"/>
      <c r="F33" s="53">
        <f>IF(E33&gt;0,C33/E33,"—")</f>
        <v/>
      </c>
      <c r="G33" s="54">
        <f>IF(C33&lt;=5,"⚠️ CRÍTICO","OK")</f>
        <v/>
      </c>
      <c r="H33" s="55">
        <f>IF(C33=0,"❌ SIN STOCK en SJ",IF(C33&lt;=5,"⚠️ Stock crítico (≤5 uds)","✅ Con stock"))</f>
        <v/>
      </c>
    </row>
    <row r="34" ht="18" customHeight="1">
      <c r="A34" s="4" t="inlineStr">
        <is>
          <t>Samsung A05S c/marco</t>
        </is>
      </c>
      <c r="B34" s="6" t="n">
        <v>48030</v>
      </c>
      <c r="C34" s="49" t="n"/>
      <c r="D34" s="49" t="n"/>
      <c r="E34" s="49" t="n"/>
      <c r="F34" s="50">
        <f>IF(E34&gt;0,C34/E34,"—")</f>
        <v/>
      </c>
      <c r="G34" s="51">
        <f>IF(C34&lt;=5,"⚠️ CRÍTICO","OK")</f>
        <v/>
      </c>
      <c r="H34" s="52">
        <f>IF(C34=0,"❌ SIN STOCK en SJ",IF(C34&lt;=5,"⚠️ Stock crítico (≤5 uds)","✅ Con stock"))</f>
        <v/>
      </c>
    </row>
    <row r="35" ht="18" customHeight="1">
      <c r="A35" s="9" t="inlineStr">
        <is>
          <t>Samsung A30S OLED</t>
        </is>
      </c>
      <c r="B35" s="11" t="n">
        <v>85321</v>
      </c>
      <c r="C35" s="49" t="n"/>
      <c r="D35" s="49" t="n"/>
      <c r="E35" s="49" t="n"/>
      <c r="F35" s="53">
        <f>IF(E35&gt;0,C35/E35,"—")</f>
        <v/>
      </c>
      <c r="G35" s="54">
        <f>IF(C35&lt;=5,"⚠️ CRÍTICO","OK")</f>
        <v/>
      </c>
      <c r="H35" s="55">
        <f>IF(C35=0,"❌ SIN STOCK en SJ",IF(C35&lt;=5,"⚠️ Stock crítico (≤5 uds)","✅ Con stock"))</f>
        <v/>
      </c>
    </row>
    <row r="36" ht="18" customHeight="1">
      <c r="A36" s="4" t="inlineStr">
        <is>
          <t>LG K51S</t>
        </is>
      </c>
      <c r="B36" s="6" t="n">
        <v>46648</v>
      </c>
      <c r="C36" s="49" t="n"/>
      <c r="D36" s="49" t="n"/>
      <c r="E36" s="49" t="n"/>
      <c r="F36" s="50">
        <f>IF(E36&gt;0,C36/E36,"—")</f>
        <v/>
      </c>
      <c r="G36" s="51">
        <f>IF(C36&lt;=5,"⚠️ CRÍTICO","OK")</f>
        <v/>
      </c>
      <c r="H36" s="52">
        <f>IF(C36=0,"❌ SIN STOCK en SJ",IF(C36&lt;=5,"⚠️ Stock crítico (≤5 uds)","✅ Con stock"))</f>
        <v/>
      </c>
    </row>
    <row r="37" ht="18" customHeight="1">
      <c r="A37" s="9" t="inlineStr">
        <is>
          <t>iPhone 12 Pro Max OLED</t>
        </is>
      </c>
      <c r="B37" s="11" t="n">
        <v>207325</v>
      </c>
      <c r="C37" s="49" t="n"/>
      <c r="D37" s="49" t="n"/>
      <c r="E37" s="49" t="n"/>
      <c r="F37" s="53">
        <f>IF(E37&gt;0,C37/E37,"—")</f>
        <v/>
      </c>
      <c r="G37" s="54">
        <f>IF(C37&lt;=5,"⚠️ CRÍTICO","OK")</f>
        <v/>
      </c>
      <c r="H37" s="55">
        <f>IF(C37=0,"❌ SIN STOCK en SJ",IF(C37&lt;=5,"⚠️ Stock crítico (≤5 uds)","✅ Con stock"))</f>
        <v/>
      </c>
    </row>
    <row r="38" ht="18" customHeight="1">
      <c r="A38" s="4" t="inlineStr">
        <is>
          <t>Moto G7 Power c/marco</t>
        </is>
      </c>
      <c r="B38" s="6" t="n">
        <v>31884</v>
      </c>
      <c r="C38" s="49" t="n"/>
      <c r="D38" s="49" t="n"/>
      <c r="E38" s="49" t="n"/>
      <c r="F38" s="50">
        <f>IF(E38&gt;0,C38/E38,"—")</f>
        <v/>
      </c>
      <c r="G38" s="51">
        <f>IF(C38&lt;=5,"⚠️ CRÍTICO","OK")</f>
        <v/>
      </c>
      <c r="H38" s="52">
        <f>IF(C38=0,"❌ SIN STOCK en SJ",IF(C38&lt;=5,"⚠️ Stock crítico (≤5 uds)","✅ Con stock"))</f>
        <v/>
      </c>
    </row>
    <row r="39" ht="18" customHeight="1">
      <c r="A39" s="9" t="inlineStr">
        <is>
          <t>Samsung A11</t>
        </is>
      </c>
      <c r="B39" s="11" t="n">
        <v>24750</v>
      </c>
      <c r="C39" s="49" t="n"/>
      <c r="D39" s="49" t="n"/>
      <c r="E39" s="49" t="n"/>
      <c r="F39" s="53">
        <f>IF(E39&gt;0,C39/E39,"—")</f>
        <v/>
      </c>
      <c r="G39" s="54">
        <f>IF(C39&lt;=5,"⚠️ CRÍTICO","OK")</f>
        <v/>
      </c>
      <c r="H39" s="55">
        <f>IF(C39=0,"❌ SIN STOCK en SJ",IF(C39&lt;=5,"⚠️ Stock crítico (≤5 uds)","✅ Con stock"))</f>
        <v/>
      </c>
    </row>
    <row r="40" ht="18" customHeight="1">
      <c r="A40" s="4" t="inlineStr">
        <is>
          <t>Moto G31/G41/G71 OLED</t>
        </is>
      </c>
      <c r="B40" s="6" t="n">
        <v>103317</v>
      </c>
      <c r="C40" s="49" t="n"/>
      <c r="D40" s="49" t="n"/>
      <c r="E40" s="49" t="n"/>
      <c r="F40" s="50">
        <f>IF(E40&gt;0,C40/E40,"—")</f>
        <v/>
      </c>
      <c r="G40" s="51">
        <f>IF(C40&lt;=5,"⚠️ CRÍTICO","OK")</f>
        <v/>
      </c>
      <c r="H40" s="52">
        <f>IF(C40=0,"❌ SIN STOCK en SJ",IF(C40&lt;=5,"⚠️ Stock crítico (≤5 uds)","✅ Con stock"))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2026-03-15T23:36:39Z</dcterms:created>
  <dcterms:modified xmlns:dcterms="http://purl.org/dc/terms/" xmlns:xsi="http://www.w3.org/2001/XMLSchema-instance" xsi:type="dcterms:W3CDTF">2026-03-15T23:36:39Z</dcterms:modified>
</cp:coreProperties>
</file>